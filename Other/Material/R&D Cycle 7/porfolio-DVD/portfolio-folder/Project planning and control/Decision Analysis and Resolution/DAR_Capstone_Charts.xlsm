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QYG81HC\Documents\Capstone\porfolio-DVD\portfolio-folder\Project planning and control\Decision Analysis and Resolution\"/>
    </mc:Choice>
  </mc:AlternateContent>
  <bookViews>
    <workbookView xWindow="0" yWindow="0" windowWidth="28800" windowHeight="13770" tabRatio="815" firstSheet="1" activeTab="2"/>
  </bookViews>
  <sheets>
    <sheet name="Template_History" sheetId="4" state="hidden" r:id="rId1"/>
    <sheet name="Revision History" sheetId="5" r:id="rId2"/>
    <sheet name="Summary Sheet" sheetId="11" r:id="rId3"/>
    <sheet name="Example_Grid" sheetId="3" r:id="rId4"/>
    <sheet name="Grid_Analysis" sheetId="2" r:id="rId5"/>
    <sheet name="Help_Pugh_Matrix" sheetId="10" state="hidden" r:id="rId6"/>
    <sheet name="Example_Pugh" sheetId="7" state="hidden" r:id="rId7"/>
    <sheet name="Pugh_Matrix" sheetId="9" state="hidden" r:id="rId8"/>
  </sheets>
  <externalReferences>
    <externalReference r:id="rId9"/>
    <externalReference r:id="rId10"/>
  </externalReferences>
  <definedNames>
    <definedName name="_xlnm._FilterDatabase" localSheetId="2" hidden="1">'[1]Fishbone Diagram'!$A$37:$D$42</definedName>
    <definedName name="Comm_Header">Pugh_Matrix!$4:$5</definedName>
    <definedName name="DecisionCell">Grid_Analysis!$C$23</definedName>
    <definedName name="DecisionPugh">Pugh_Matrix!$C$18</definedName>
    <definedName name="HeadPugh">Pugh_Matrix!$E$5</definedName>
    <definedName name="HeadRef">Grid_Analysis!$Z$7</definedName>
    <definedName name="Levels" localSheetId="6">Example_Pugh!$AA$22:$AD$22</definedName>
    <definedName name="Levels">Pugh_Matrix!#REF!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ull" localSheetId="6">Example_Pugh!$AD$22</definedName>
    <definedName name="Null">Pugh_Matrix!#REF!</definedName>
    <definedName name="_xlnm.Print_Area" localSheetId="3">Example_Grid!$A$1:$R$35</definedName>
    <definedName name="_xlnm.Print_Area" localSheetId="6">Example_Pugh!$A$1:$K$62</definedName>
    <definedName name="_xlnm.Print_Area" localSheetId="4">Grid_Analysis!$A$1:$T$32</definedName>
    <definedName name="_xlnm.Print_Area" localSheetId="7">Pugh_Matrix!$A$1:$O$49</definedName>
    <definedName name="_xlnm.Print_Area" localSheetId="2">'Summary Sheet'!$A$1:$D$22</definedName>
    <definedName name="_xlnm.Print_Area" localSheetId="0">Template_History!$A$1:$F$19</definedName>
    <definedName name="_xlnm.Print_Titles" localSheetId="3">Example_Grid!$12:$14</definedName>
    <definedName name="_xlnm.Print_Titles" localSheetId="7">Pugh_Matrix!#REF!</definedName>
    <definedName name="Ranking_Alternatives">Pugh_Matrix!$AJ$2:$AM$2</definedName>
    <definedName name="Ranking_Criteria">Pugh_Matrix!$AC$2:$AF$2</definedName>
    <definedName name="RankPugh">Pugh_Matrix!$E$15</definedName>
    <definedName name="RankRef">Grid_Analysis!$Z$21</definedName>
    <definedName name="Ref_Alternative">Pugh_Matrix!$J:$J</definedName>
    <definedName name="Ref_Criteria">Pugh_Matrix!$10:$10</definedName>
  </definedNames>
  <calcPr calcId="152511"/>
</workbook>
</file>

<file path=xl/calcChain.xml><?xml version="1.0" encoding="utf-8"?>
<calcChain xmlns="http://schemas.openxmlformats.org/spreadsheetml/2006/main">
  <c r="K83" i="10" l="1"/>
  <c r="K86" i="10" s="1"/>
  <c r="K85" i="10"/>
  <c r="J83" i="10"/>
  <c r="J86" i="10"/>
  <c r="J85" i="10"/>
  <c r="I83" i="10"/>
  <c r="I85" i="10"/>
  <c r="I86" i="10" s="1"/>
  <c r="H83" i="10"/>
  <c r="H86" i="10" s="1"/>
  <c r="H85" i="10"/>
  <c r="G83" i="10"/>
  <c r="G86" i="10" s="1"/>
  <c r="G85" i="10"/>
  <c r="F83" i="10"/>
  <c r="F86" i="10"/>
  <c r="F85" i="10"/>
  <c r="E83" i="10"/>
  <c r="E85" i="10"/>
  <c r="E86" i="10" s="1"/>
  <c r="K84" i="10"/>
  <c r="J84" i="10"/>
  <c r="I84" i="10"/>
  <c r="H84" i="10"/>
  <c r="G84" i="10"/>
  <c r="F84" i="10"/>
  <c r="E84" i="10"/>
  <c r="K63" i="10"/>
  <c r="K66" i="10" s="1"/>
  <c r="K65" i="10"/>
  <c r="J63" i="10"/>
  <c r="J66" i="10"/>
  <c r="J65" i="10"/>
  <c r="I63" i="10"/>
  <c r="I66" i="10" s="1"/>
  <c r="I65" i="10"/>
  <c r="H63" i="10"/>
  <c r="H66" i="10" s="1"/>
  <c r="H65" i="10"/>
  <c r="G63" i="10"/>
  <c r="G66" i="10" s="1"/>
  <c r="G65" i="10"/>
  <c r="F63" i="10"/>
  <c r="F66" i="10"/>
  <c r="F65" i="10"/>
  <c r="E63" i="10"/>
  <c r="E66" i="10" s="1"/>
  <c r="E65" i="10"/>
  <c r="K64" i="10"/>
  <c r="J64" i="10"/>
  <c r="I64" i="10"/>
  <c r="H64" i="10"/>
  <c r="G64" i="10"/>
  <c r="F64" i="10"/>
  <c r="E64" i="10"/>
  <c r="K43" i="10"/>
  <c r="K46" i="10" s="1"/>
  <c r="K45" i="10"/>
  <c r="J43" i="10"/>
  <c r="J46" i="10"/>
  <c r="J45" i="10"/>
  <c r="I43" i="10"/>
  <c r="I46" i="10" s="1"/>
  <c r="I45" i="10"/>
  <c r="H43" i="10"/>
  <c r="H46" i="10" s="1"/>
  <c r="H45" i="10"/>
  <c r="G43" i="10"/>
  <c r="G46" i="10" s="1"/>
  <c r="G45" i="10"/>
  <c r="F43" i="10"/>
  <c r="F46" i="10"/>
  <c r="F45" i="10"/>
  <c r="E43" i="10"/>
  <c r="E46" i="10" s="1"/>
  <c r="E45" i="10"/>
  <c r="K44" i="10"/>
  <c r="J44" i="10"/>
  <c r="I44" i="10"/>
  <c r="H44" i="10"/>
  <c r="G44" i="10"/>
  <c r="F44" i="10"/>
  <c r="E44" i="10"/>
  <c r="B7" i="10"/>
  <c r="B8" i="10" s="1"/>
  <c r="B13" i="10" s="1"/>
  <c r="B14" i="10" s="1"/>
  <c r="B19" i="10" s="1"/>
  <c r="B20" i="10" s="1"/>
  <c r="E32" i="7"/>
  <c r="F32" i="7"/>
  <c r="G32" i="7"/>
  <c r="G35" i="7" s="1"/>
  <c r="H32" i="7"/>
  <c r="I32" i="7"/>
  <c r="I35" i="7" s="1"/>
  <c r="E33" i="7"/>
  <c r="F33" i="7"/>
  <c r="G33" i="7"/>
  <c r="H33" i="7"/>
  <c r="I33" i="7"/>
  <c r="E34" i="7"/>
  <c r="E35" i="7" s="1"/>
  <c r="F34" i="7"/>
  <c r="F35" i="7"/>
  <c r="G34" i="7"/>
  <c r="H34" i="7"/>
  <c r="H35" i="7"/>
  <c r="I34" i="7"/>
  <c r="E12" i="9"/>
  <c r="E15" i="9" s="1"/>
  <c r="F12" i="9"/>
  <c r="F15" i="9" s="1"/>
  <c r="G12" i="9"/>
  <c r="H12" i="9"/>
  <c r="H15" i="9"/>
  <c r="I12" i="9"/>
  <c r="I15" i="9" s="1"/>
  <c r="J12" i="9"/>
  <c r="E13" i="9"/>
  <c r="F13" i="9"/>
  <c r="G13" i="9"/>
  <c r="H13" i="9"/>
  <c r="I13" i="9"/>
  <c r="J13" i="9"/>
  <c r="E14" i="9"/>
  <c r="F14" i="9"/>
  <c r="G14" i="9"/>
  <c r="G15" i="9" s="1"/>
  <c r="H14" i="9"/>
  <c r="I14" i="9"/>
  <c r="J14" i="9"/>
  <c r="J15" i="9"/>
  <c r="AE10" i="2"/>
  <c r="AE11" i="2"/>
  <c r="AE12" i="2"/>
  <c r="AE13" i="2"/>
  <c r="AE14" i="2"/>
  <c r="AE15" i="2"/>
  <c r="AE16" i="2"/>
  <c r="AE17" i="2"/>
  <c r="AE18" i="2"/>
  <c r="AE19" i="2"/>
  <c r="AE20" i="2"/>
  <c r="AE9" i="2"/>
  <c r="AD10" i="2"/>
  <c r="AD11" i="2"/>
  <c r="AD12" i="2"/>
  <c r="AD13" i="2"/>
  <c r="AD14" i="2"/>
  <c r="AD15" i="2"/>
  <c r="AD16" i="2"/>
  <c r="AD17" i="2"/>
  <c r="AD18" i="2"/>
  <c r="AD19" i="2"/>
  <c r="AD20" i="2"/>
  <c r="AD9" i="2"/>
  <c r="AC20" i="2"/>
  <c r="AC19" i="2"/>
  <c r="AC18" i="2"/>
  <c r="AC17" i="2"/>
  <c r="AC16" i="2"/>
  <c r="AC15" i="2"/>
  <c r="AC14" i="2"/>
  <c r="AC13" i="2"/>
  <c r="AC12" i="2"/>
  <c r="AC11" i="2"/>
  <c r="AC10" i="2"/>
  <c r="AC9" i="2"/>
  <c r="AE7" i="2"/>
  <c r="AD7" i="2"/>
  <c r="AC7" i="2"/>
  <c r="AB7" i="2"/>
  <c r="AA7" i="2"/>
  <c r="Z7" i="2"/>
  <c r="AB9" i="2"/>
  <c r="AB10" i="2"/>
  <c r="AB11" i="2"/>
  <c r="AB12" i="2"/>
  <c r="AB13" i="2"/>
  <c r="AB14" i="2"/>
  <c r="AB15" i="2"/>
  <c r="AB16" i="2"/>
  <c r="AB17" i="2"/>
  <c r="AB18" i="2"/>
  <c r="AB19" i="2"/>
  <c r="AB20" i="2"/>
  <c r="AA9" i="2"/>
  <c r="AA10" i="2"/>
  <c r="AA11" i="2"/>
  <c r="AA12" i="2"/>
  <c r="AA13" i="2"/>
  <c r="AA14" i="2"/>
  <c r="AA15" i="2"/>
  <c r="AA16" i="2"/>
  <c r="AA17" i="2"/>
  <c r="AA18" i="2"/>
  <c r="AA19" i="2"/>
  <c r="AA20" i="2"/>
  <c r="Z9" i="2"/>
  <c r="Z10" i="2"/>
  <c r="Z11" i="2"/>
  <c r="Z12" i="2"/>
  <c r="Z13" i="2"/>
  <c r="Z14" i="2"/>
  <c r="Z15" i="2"/>
  <c r="Z16" i="2"/>
  <c r="Z17" i="2"/>
  <c r="Z18" i="2"/>
  <c r="Z19" i="2"/>
  <c r="Z20" i="2"/>
  <c r="P16" i="3"/>
  <c r="P17" i="3"/>
  <c r="P18" i="3"/>
  <c r="P19" i="3"/>
  <c r="M16" i="3"/>
  <c r="M17" i="3"/>
  <c r="M18" i="3"/>
  <c r="M19" i="3"/>
  <c r="J16" i="3"/>
  <c r="J17" i="3"/>
  <c r="J18" i="3"/>
  <c r="J19" i="3"/>
  <c r="AC21" i="2" l="1"/>
  <c r="AE21" i="2"/>
  <c r="AB21" i="2"/>
  <c r="AD21" i="2"/>
  <c r="Z21" i="2"/>
  <c r="AA21" i="2"/>
</calcChain>
</file>

<file path=xl/comments1.xml><?xml version="1.0" encoding="utf-8"?>
<comments xmlns="http://schemas.openxmlformats.org/spreadsheetml/2006/main">
  <authors>
    <author>RIS4KOR</author>
    <author>moo4kor</author>
  </authors>
  <commentList>
    <comment ref="L9" authorId="0" shapeId="0">
      <text>
        <r>
          <rPr>
            <b/>
            <sz val="8"/>
            <color indexed="81"/>
            <rFont val="Tahoma"/>
            <family val="2"/>
          </rPr>
          <t>RIS4KOR:</t>
        </r>
        <r>
          <rPr>
            <sz val="8"/>
            <color indexed="81"/>
            <rFont val="Tahoma"/>
            <family val="2"/>
          </rPr>
          <t xml:space="preserve">
Mention the evaluation method used from the DAR guideline.</t>
        </r>
      </text>
    </comment>
    <comment ref="I12"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13" authorId="0" shapeId="0">
      <text>
        <r>
          <rPr>
            <b/>
            <sz val="8"/>
            <color indexed="81"/>
            <rFont val="Tahoma"/>
            <family val="2"/>
          </rPr>
          <t>RIS4KOR:</t>
        </r>
        <r>
          <rPr>
            <sz val="8"/>
            <color indexed="81"/>
            <rFont val="Tahoma"/>
            <family val="2"/>
          </rPr>
          <t xml:space="preserve">
Based on the criteria ranking assign suitable weightages.</t>
        </r>
      </text>
    </comment>
    <comment ref="G13" authorId="1" shapeId="0">
      <text>
        <r>
          <rPr>
            <b/>
            <sz val="8"/>
            <color indexed="81"/>
            <rFont val="Tahoma"/>
            <family val="2"/>
          </rPr>
          <t>moo4kor:</t>
        </r>
        <r>
          <rPr>
            <sz val="8"/>
            <color indexed="81"/>
            <rFont val="Tahoma"/>
            <family val="2"/>
          </rPr>
          <t xml:space="preserve">
1. Criteria's 1 - 10 are Technical  - Refer the POC link below in References for details 
2. Criteria's 11 - 14 are Non-Technical - Refer the CBA link below.</t>
        </r>
      </text>
    </comment>
    <comment ref="G18" authorId="1" shapeId="0">
      <text>
        <r>
          <rPr>
            <b/>
            <sz val="8"/>
            <color indexed="81"/>
            <rFont val="Tahoma"/>
            <family val="2"/>
          </rPr>
          <t>moo4kor:</t>
        </r>
        <r>
          <rPr>
            <sz val="8"/>
            <color indexed="81"/>
            <rFont val="Tahoma"/>
            <family val="2"/>
          </rPr>
          <t xml:space="preserve">
Factors under this Licenses are:
1. Floating/Concurrent Licenses.
2. Node-locked/Named Licenses.
3. License flexibility.
4. License Rigidity etc.</t>
        </r>
      </text>
    </comment>
    <comment ref="G19" authorId="1" shapeId="0">
      <text>
        <r>
          <rPr>
            <b/>
            <sz val="8"/>
            <color indexed="81"/>
            <rFont val="Tahoma"/>
            <family val="2"/>
          </rPr>
          <t>moo4kor:</t>
        </r>
        <r>
          <rPr>
            <sz val="8"/>
            <color indexed="81"/>
            <rFont val="Tahoma"/>
            <family val="2"/>
          </rPr>
          <t xml:space="preserve">
Technical Support fron the vendor in terms of Training, Consultancy, Queries, Availability of tool user groups.</t>
        </r>
      </text>
    </comment>
  </commentList>
</comments>
</file>

<file path=xl/comments2.xml><?xml version="1.0" encoding="utf-8"?>
<comments xmlns="http://schemas.openxmlformats.org/spreadsheetml/2006/main">
  <authors>
    <author>RIS4KOR</author>
  </authors>
  <commentList>
    <comment ref="L3" authorId="0" shapeId="0">
      <text>
        <r>
          <rPr>
            <sz val="8"/>
            <color indexed="81"/>
            <rFont val="Tahoma"/>
            <family val="2"/>
          </rPr>
          <t>Mention the evaluation method used from the DAR guideline.</t>
        </r>
      </text>
    </comment>
    <comment ref="I6"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7" authorId="0" shapeId="0">
      <text>
        <r>
          <rPr>
            <b/>
            <sz val="8"/>
            <color indexed="81"/>
            <rFont val="Tahoma"/>
            <family val="2"/>
          </rPr>
          <t>RIS4KOR:</t>
        </r>
        <r>
          <rPr>
            <sz val="8"/>
            <color indexed="81"/>
            <rFont val="Tahoma"/>
            <family val="2"/>
          </rPr>
          <t xml:space="preserve">
Based on the criteria ranking assign suitable weight ages.</t>
        </r>
      </text>
    </comment>
  </commentList>
</comments>
</file>

<file path=xl/comments3.xml><?xml version="1.0" encoding="utf-8"?>
<comments xmlns="http://schemas.openxmlformats.org/spreadsheetml/2006/main">
  <authors>
    <author>mut3kor</author>
  </authors>
  <commentList>
    <comment ref="E2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3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3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3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30" authorId="0" shapeId="0">
      <text>
        <r>
          <rPr>
            <sz val="8"/>
            <color indexed="81"/>
            <rFont val="Tahoma"/>
            <family val="2"/>
          </rPr>
          <t xml:space="preserve">Justification for ranking could be entered under </t>
        </r>
        <r>
          <rPr>
            <b/>
            <sz val="8"/>
            <color indexed="81"/>
            <rFont val="Tahoma"/>
            <family val="2"/>
          </rPr>
          <t>Remarks</t>
        </r>
      </text>
    </comment>
    <comment ref="E4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50" authorId="0" shapeId="0">
      <text>
        <r>
          <rPr>
            <sz val="8"/>
            <color indexed="81"/>
            <rFont val="Tahoma"/>
            <family val="2"/>
          </rPr>
          <t xml:space="preserve">Justification for ranking could be entered under </t>
        </r>
        <r>
          <rPr>
            <b/>
            <sz val="8"/>
            <color indexed="81"/>
            <rFont val="Tahoma"/>
            <family val="2"/>
          </rPr>
          <t>Remarks</t>
        </r>
      </text>
    </comment>
    <comment ref="E6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7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7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7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70"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4.xml><?xml version="1.0" encoding="utf-8"?>
<comments xmlns="http://schemas.openxmlformats.org/spreadsheetml/2006/main">
  <authors>
    <author>mut3kor</author>
  </authors>
  <commentList>
    <comment ref="E23"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24"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24"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24"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24"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5.xml><?xml version="1.0" encoding="utf-8"?>
<comments xmlns="http://schemas.openxmlformats.org/spreadsheetml/2006/main">
  <authors>
    <author>mut3kor</author>
  </authors>
  <commentList>
    <comment ref="E4"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sharedStrings.xml><?xml version="1.0" encoding="utf-8"?>
<sst xmlns="http://schemas.openxmlformats.org/spreadsheetml/2006/main" count="507" uniqueCount="220">
  <si>
    <t>Subject:</t>
  </si>
  <si>
    <t>No.</t>
  </si>
  <si>
    <t>Date:</t>
  </si>
  <si>
    <t xml:space="preserve"> </t>
  </si>
  <si>
    <t>Criteria</t>
  </si>
  <si>
    <t>Alternative 1</t>
  </si>
  <si>
    <t>Alternative 2</t>
  </si>
  <si>
    <t>Alternative 3</t>
  </si>
  <si>
    <t>Evaluation</t>
  </si>
  <si>
    <t>Scale:</t>
  </si>
  <si>
    <t>Weight</t>
  </si>
  <si>
    <t>3</t>
  </si>
  <si>
    <t>Ver.</t>
  </si>
  <si>
    <t>Date</t>
  </si>
  <si>
    <t>Changed by</t>
  </si>
  <si>
    <t>Modifications</t>
  </si>
  <si>
    <t>Richa Sharma</t>
  </si>
  <si>
    <t>Base version</t>
  </si>
  <si>
    <t>Total (weighted sums = criteria weightage x value of alternative)--&gt;</t>
  </si>
  <si>
    <t>Evaluation method:</t>
  </si>
  <si>
    <t>Brainstorming</t>
  </si>
  <si>
    <t>Risk:</t>
  </si>
  <si>
    <t>Reviewed by:</t>
  </si>
  <si>
    <t>Approved by:</t>
  </si>
  <si>
    <t>Participants:</t>
  </si>
  <si>
    <t>DAR Report</t>
  </si>
  <si>
    <r>
      <t xml:space="preserve">(* </t>
    </r>
    <r>
      <rPr>
        <sz val="10"/>
        <rFont val="Arial"/>
        <family val="2"/>
      </rPr>
      <t>Document rationale for choosing an alternative and also why other alternatives were rejected.</t>
    </r>
    <r>
      <rPr>
        <b/>
        <sz val="14"/>
        <rFont val="Arial"/>
        <family val="2"/>
      </rPr>
      <t>)</t>
    </r>
  </si>
  <si>
    <t>(Also links to be given to any associated minutes, evaluation/analysis reports, simulation/piloting results, write-up on the proposed alternatives that are maintained.)</t>
  </si>
  <si>
    <t>Value</t>
  </si>
  <si>
    <t>DAR Report - Selection of an Enterprise Functional Testing Tool among QTP - Winrunner - TestComplete</t>
  </si>
  <si>
    <t>To select an Enterprise Functional Testing Tool among QTP - Winrunner - TestComplete</t>
  </si>
  <si>
    <t>1 - 5</t>
  </si>
  <si>
    <t>1 - 3</t>
  </si>
  <si>
    <t>QTP</t>
  </si>
  <si>
    <t>WinRunner</t>
  </si>
  <si>
    <t>Test Complete</t>
  </si>
  <si>
    <t>Score</t>
  </si>
  <si>
    <t>Technical Feasibility 
(points considered here for evaluation are - Record and Playback, Object Recognition, Object Mapping, Scripting Language, Data Driven Testing, Addins and Extensions, Managing the Testing process, Exception Handling, Database Interfaces and Test Results Analysis - Refer the files as given in References for details on comparison of these tools on each of these points.)</t>
  </si>
  <si>
    <t>Payback and Pricing</t>
  </si>
  <si>
    <t>Licenses</t>
  </si>
  <si>
    <t>Support</t>
  </si>
  <si>
    <t>Decision:   QTP is recommended for usage</t>
  </si>
  <si>
    <t xml:space="preserve">QTP has all the features of Winrunner and also additional useful features(Eg.built-in Function Genarator and data driven functions.) This is comparitively more stable than Test complete as Test Complete has not yet been used extensively in the Industry.
The Support available for the QTP/Winrunner is quite good when compared to Test Complete.
Considering the above points, both Technical and Non-technical, QTP is recommended for usage.
</t>
  </si>
  <si>
    <t>References (if any):</t>
  </si>
  <si>
    <t>dd/mm/yyyy</t>
  </si>
  <si>
    <t>04/10/2005</t>
  </si>
  <si>
    <t>Assumptions / Justification for Value</t>
  </si>
  <si>
    <t>Sachin Kumar Naik</t>
  </si>
  <si>
    <t>Added a new column for documenting the assumptions /justification for a value</t>
  </si>
  <si>
    <t>Assumptions/Justification for value</t>
  </si>
  <si>
    <t>The license cost will drastically come down if they are hired. No of licenses needed are the same as WinRunner.
Refer CBA file in References.</t>
  </si>
  <si>
    <t>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</si>
  <si>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The license cost will drastically come down if they are hired. No of licenses needed are the same as QTP. Refe CBA file in References.</t>
  </si>
  <si>
    <t>Payback period is less when compared to QTP &amp; WinRunner because of its verylow cost when compared to QTP and Win Runner.($800 for Named license and $2500 for Concurrent license)</t>
  </si>
  <si>
    <t>Low cost of the licenses.</t>
  </si>
  <si>
    <t>Support for Test Complete is not as good as for QTP and Winrunner as it has not been extensively used in the industry.</t>
  </si>
  <si>
    <t xml:space="preserve">QTP has all the features of Winrunner and also additional useful features(Eg.built-in Function Generator and data driven functions.) </t>
  </si>
  <si>
    <t>Even though there are certain advantages (Refer references) -
• There is nothing similar to Function Generator available from which we can just select the function we require as in WinRunner and QTP.
• The tool is not user friendly as far as the data driven testing is concerned.
• Object Mapping does not support mapping on the basis of co-ordinates.</t>
  </si>
  <si>
    <t xml:space="preserve">
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</si>
  <si>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Total (weighted sums = criteria weight age x value of alternative)--&gt;</t>
  </si>
  <si>
    <t xml:space="preserve">  Management Representative </t>
  </si>
  <si>
    <t>Released by:</t>
  </si>
  <si>
    <t xml:space="preserve">Internal / Confidential / Strictly Confidential </t>
  </si>
  <si>
    <t xml:space="preserve">Status: Approved </t>
  </si>
  <si>
    <t>16/07/2007</t>
  </si>
  <si>
    <r>
      <t xml:space="preserve"> </t>
    </r>
    <r>
      <rPr>
        <b/>
        <sz val="12"/>
        <rFont val="Arial"/>
        <family val="2"/>
      </rPr>
      <t>QMS Documentation Controller</t>
    </r>
  </si>
  <si>
    <t>Rationale: *</t>
  </si>
  <si>
    <r>
      <t xml:space="preserve">References (if any): </t>
    </r>
    <r>
      <rPr>
        <sz val="10"/>
        <rFont val="Arial"/>
        <family val="2"/>
      </rPr>
      <t>(Links to any supporting documents that were used for choosing an alternative can be given, example, Cost-benefit-analysis study)</t>
    </r>
  </si>
  <si>
    <r>
      <t xml:space="preserve">(* </t>
    </r>
    <r>
      <rPr>
        <sz val="10"/>
        <rFont val="Arial"/>
        <family val="2"/>
      </rPr>
      <t>Document rationale for choosing an alternative and also why other alternatives were rejected.</t>
    </r>
    <r>
      <rPr>
        <b/>
        <sz val="10"/>
        <rFont val="Arial"/>
        <family val="2"/>
      </rPr>
      <t>)</t>
    </r>
  </si>
  <si>
    <t>Score = (criteria weight x value for alternative)</t>
  </si>
  <si>
    <t>Added Macro to evaluate alternatives and record decision</t>
  </si>
  <si>
    <t>Alternative 6</t>
  </si>
  <si>
    <t>Alternative 5</t>
  </si>
  <si>
    <t>Alternative 4</t>
  </si>
  <si>
    <t>Note: Template is designed to handle maximum 6 alternatives.</t>
  </si>
  <si>
    <t>Sunil Shenoy, Jagannath Rao</t>
  </si>
  <si>
    <t>Evaluate Alternatives</t>
  </si>
  <si>
    <t>24/06/2009</t>
  </si>
  <si>
    <t>Status: &lt;Draft / Reviewed / Approved&gt;</t>
  </si>
  <si>
    <t>Note: Please update the current status above</t>
  </si>
  <si>
    <t>Approved by :</t>
  </si>
  <si>
    <t>Released  by :</t>
  </si>
  <si>
    <t>Note: Please select the document confidentiality level above</t>
  </si>
  <si>
    <t>Version No.</t>
  </si>
  <si>
    <t>Author</t>
  </si>
  <si>
    <t>Internal</t>
  </si>
  <si>
    <t>Document Revision History</t>
  </si>
  <si>
    <t>Template Revision History</t>
  </si>
  <si>
    <t>Help - Pugh Matrix</t>
  </si>
  <si>
    <t>S.N</t>
  </si>
  <si>
    <t>Description</t>
  </si>
  <si>
    <t>A</t>
  </si>
  <si>
    <t>Enter the name of the Team &amp; Project details at Row 3 (Sheet: Pugh Matrix)</t>
  </si>
  <si>
    <t>B</t>
  </si>
  <si>
    <t>Comparing Alternatives (Sheet: Pugh Matrix)</t>
  </si>
  <si>
    <t>C</t>
  </si>
  <si>
    <t>D</t>
  </si>
  <si>
    <t>Pugh Matrix</t>
  </si>
  <si>
    <t>Process Steps for Filling Pugh Matrix</t>
  </si>
  <si>
    <t>Step 1</t>
  </si>
  <si>
    <t>Alternatives</t>
  </si>
  <si>
    <t>SN</t>
  </si>
  <si>
    <t>Description of Criteria</t>
  </si>
  <si>
    <t>Criteria Ranking</t>
  </si>
  <si>
    <t>Datum</t>
  </si>
  <si>
    <t>Alternative - A</t>
  </si>
  <si>
    <t>Alternative - B</t>
  </si>
  <si>
    <t>Alternative - C</t>
  </si>
  <si>
    <t>Alternative - D</t>
  </si>
  <si>
    <t>Alternative - E</t>
  </si>
  <si>
    <t>Template Column</t>
  </si>
  <si>
    <t>Remarks</t>
  </si>
  <si>
    <t>Criteria 1</t>
  </si>
  <si>
    <t>S</t>
  </si>
  <si>
    <t>Criteria 2</t>
  </si>
  <si>
    <t>Criteria 3</t>
  </si>
  <si>
    <t>Criteria 4</t>
  </si>
  <si>
    <t>Criteria 5</t>
  </si>
  <si>
    <t>Criteria 6</t>
  </si>
  <si>
    <t>Criteria 7</t>
  </si>
  <si>
    <t>Criteria 8</t>
  </si>
  <si>
    <t>Criteria 9</t>
  </si>
  <si>
    <t>Criteria 10</t>
  </si>
  <si>
    <t>Template Row</t>
  </si>
  <si>
    <t>Calculation</t>
  </si>
  <si>
    <t>Calculation Area: Do Not Enter Data Below</t>
  </si>
  <si>
    <t>Weighted Sum of Positives (+)</t>
  </si>
  <si>
    <t>Weighted Sum of Sames (S)</t>
  </si>
  <si>
    <t>Weighted Sum of Negatives (-)</t>
  </si>
  <si>
    <t>Overall Weighted Score (A-C)</t>
  </si>
  <si>
    <t>Step 2</t>
  </si>
  <si>
    <t>Step 3</t>
  </si>
  <si>
    <t>+</t>
  </si>
  <si>
    <t>-</t>
  </si>
  <si>
    <t>Example: Selecting High Performance Car out of the alternatives below</t>
  </si>
  <si>
    <t>Selecting High Performance Car</t>
  </si>
  <si>
    <t>Capital Cost (On road)</t>
  </si>
  <si>
    <t>Running Cost (Maintenance + Fuel)</t>
  </si>
  <si>
    <t>Service</t>
  </si>
  <si>
    <t>Reliability</t>
  </si>
  <si>
    <t>Comfort</t>
  </si>
  <si>
    <t>Ranking Criteria</t>
  </si>
  <si>
    <t>Ranking</t>
  </si>
  <si>
    <t>High</t>
  </si>
  <si>
    <t>Medium</t>
  </si>
  <si>
    <t>Low</t>
  </si>
  <si>
    <t>Ranking Alternatives</t>
  </si>
  <si>
    <t>Exceeding Datum</t>
  </si>
  <si>
    <t>Same as Datum</t>
  </si>
  <si>
    <t>Inferior to Datum</t>
  </si>
  <si>
    <r>
      <t xml:space="preserve">Enter the </t>
    </r>
    <r>
      <rPr>
        <b/>
        <sz val="10"/>
        <rFont val="Arial"/>
        <family val="2"/>
      </rPr>
      <t>Description of the Criteria</t>
    </r>
    <r>
      <rPr>
        <sz val="10"/>
        <rFont val="Arial"/>
        <family val="2"/>
      </rPr>
      <t xml:space="preserve"> under </t>
    </r>
    <r>
      <rPr>
        <b/>
        <sz val="10"/>
        <rFont val="Arial"/>
        <family val="2"/>
      </rPr>
      <t>Column C</t>
    </r>
  </si>
  <si>
    <r>
      <t xml:space="preserve">Enter the </t>
    </r>
    <r>
      <rPr>
        <b/>
        <sz val="10"/>
        <rFont val="Arial"/>
        <family val="2"/>
      </rPr>
      <t>Description of the Alternatives</t>
    </r>
    <r>
      <rPr>
        <sz val="10"/>
        <rFont val="Arial"/>
        <family val="2"/>
      </rPr>
      <t xml:space="preserve"> under </t>
    </r>
    <r>
      <rPr>
        <b/>
        <sz val="10"/>
        <rFont val="Arial"/>
        <family val="2"/>
      </rPr>
      <t>Row 6</t>
    </r>
    <r>
      <rPr>
        <sz val="10"/>
        <rFont val="Arial"/>
        <family val="2"/>
      </rPr>
      <t>.</t>
    </r>
  </si>
  <si>
    <r>
      <t xml:space="preserve">Enter / select the </t>
    </r>
    <r>
      <rPr>
        <b/>
        <sz val="10"/>
        <rFont val="Arial"/>
        <family val="2"/>
      </rPr>
      <t>Criteria Ranking</t>
    </r>
    <r>
      <rPr>
        <sz val="10"/>
        <rFont val="Arial"/>
        <family val="2"/>
      </rPr>
      <t xml:space="preserve"> based on its</t>
    </r>
    <r>
      <rPr>
        <b/>
        <sz val="10"/>
        <rFont val="Arial"/>
        <family val="2"/>
      </rPr>
      <t xml:space="preserve"> importance</t>
    </r>
    <r>
      <rPr>
        <sz val="10"/>
        <rFont val="Arial"/>
        <family val="2"/>
      </rPr>
      <t>.</t>
    </r>
  </si>
  <si>
    <r>
      <t>To add a new Criteria:</t>
    </r>
    <r>
      <rPr>
        <sz val="10"/>
        <rFont val="Arial"/>
        <family val="2"/>
      </rPr>
      <t xml:space="preserve">
 1. Insert a row at </t>
    </r>
    <r>
      <rPr>
        <b/>
        <sz val="10"/>
        <rFont val="Arial"/>
        <family val="2"/>
      </rPr>
      <t>Template Row</t>
    </r>
    <r>
      <rPr>
        <sz val="10"/>
        <rFont val="Arial"/>
        <family val="2"/>
      </rPr>
      <t xml:space="preserve">
 2. Selected &amp; copy the entire row named as </t>
    </r>
    <r>
      <rPr>
        <b/>
        <sz val="10"/>
        <rFont val="Arial"/>
        <family val="2"/>
      </rPr>
      <t>Template Row</t>
    </r>
    <r>
      <rPr>
        <sz val="10"/>
        <rFont val="Arial"/>
        <family val="2"/>
      </rPr>
      <t xml:space="preserve"> 
 3. Paste the </t>
    </r>
    <r>
      <rPr>
        <b/>
        <sz val="10"/>
        <rFont val="Arial"/>
        <family val="2"/>
      </rPr>
      <t>Template Row</t>
    </r>
    <r>
      <rPr>
        <sz val="10"/>
        <rFont val="Arial"/>
        <family val="2"/>
      </rPr>
      <t xml:space="preserve"> onto the newly inserted row as of </t>
    </r>
    <r>
      <rPr>
        <b/>
        <sz val="10"/>
        <rFont val="Arial"/>
        <family val="2"/>
      </rPr>
      <t>step 1</t>
    </r>
    <r>
      <rPr>
        <sz val="10"/>
        <rFont val="Arial"/>
        <family val="2"/>
      </rPr>
      <t xml:space="preserve">.
 4. Enter the </t>
    </r>
    <r>
      <rPr>
        <b/>
        <sz val="10"/>
        <rFont val="Arial"/>
        <family val="2"/>
      </rPr>
      <t>Description of Criteria</t>
    </r>
    <r>
      <rPr>
        <sz val="10"/>
        <rFont val="Arial"/>
        <family val="2"/>
      </rPr>
      <t xml:space="preserve"> in the inserted row (</t>
    </r>
    <r>
      <rPr>
        <b/>
        <sz val="10"/>
        <rFont val="Arial"/>
        <family val="2"/>
      </rPr>
      <t>Column C</t>
    </r>
    <r>
      <rPr>
        <sz val="10"/>
        <rFont val="Arial"/>
        <family val="2"/>
      </rPr>
      <t>).</t>
    </r>
  </si>
  <si>
    <r>
      <t xml:space="preserve">Enter / select the </t>
    </r>
    <r>
      <rPr>
        <b/>
        <sz val="10"/>
        <rFont val="Arial"/>
        <family val="2"/>
      </rPr>
      <t>Alternative Ranking</t>
    </r>
    <r>
      <rPr>
        <sz val="10"/>
        <rFont val="Arial"/>
        <family val="2"/>
      </rPr>
      <t xml:space="preserve"> based on </t>
    </r>
    <r>
      <rPr>
        <b/>
        <sz val="10"/>
        <rFont val="Arial"/>
        <family val="2"/>
      </rPr>
      <t>how well</t>
    </r>
    <r>
      <rPr>
        <sz val="10"/>
        <rFont val="Arial"/>
        <family val="2"/>
      </rPr>
      <t xml:space="preserve"> the Alternative </t>
    </r>
    <r>
      <rPr>
        <b/>
        <sz val="10"/>
        <rFont val="Arial"/>
        <family val="2"/>
      </rPr>
      <t>meets the Criteria.</t>
    </r>
  </si>
  <si>
    <r>
      <t xml:space="preserve">Revision
</t>
    </r>
    <r>
      <rPr>
        <sz val="10"/>
        <rFont val="Arial"/>
        <family val="2"/>
      </rPr>
      <t xml:space="preserve">Changes / additions could be captured under the sheet </t>
    </r>
    <r>
      <rPr>
        <b/>
        <sz val="10"/>
        <rFont val="Arial"/>
        <family val="2"/>
      </rPr>
      <t>Revision</t>
    </r>
    <r>
      <rPr>
        <sz val="10"/>
        <rFont val="Arial"/>
        <family val="2"/>
      </rPr>
      <t>, based on reviews to:
* Criteria / Alternatives
* Ranking of Criteria / Alternatives</t>
    </r>
  </si>
  <si>
    <r>
      <t xml:space="preserve">Template Version
</t>
    </r>
    <r>
      <rPr>
        <sz val="9"/>
        <rFont val="Arial"/>
        <family val="2"/>
      </rPr>
      <t>1. Information of changes to template structure is stored under the sheet called Template Version
2. Sheet Template Version is hidden to avoid confusion</t>
    </r>
  </si>
  <si>
    <r>
      <t>Sorting (Sheet: Pugh Matrix)
Make selection as below
 - Row 6</t>
    </r>
    <r>
      <rPr>
        <sz val="10"/>
        <rFont val="Arial"/>
        <family val="2"/>
      </rPr>
      <t xml:space="preserve">, </t>
    </r>
    <r>
      <rPr>
        <b/>
        <sz val="10"/>
        <rFont val="Arial"/>
        <family val="2"/>
      </rPr>
      <t>Column E</t>
    </r>
    <r>
      <rPr>
        <sz val="10"/>
        <rFont val="Arial"/>
        <family val="2"/>
      </rPr>
      <t xml:space="preserve"> (Alternative 1) - </t>
    </r>
    <r>
      <rPr>
        <b/>
        <sz val="10"/>
        <rFont val="Arial"/>
        <family val="2"/>
      </rPr>
      <t>Last Alternative</t>
    </r>
    <r>
      <rPr>
        <sz val="10"/>
        <rFont val="Arial"/>
        <family val="2"/>
      </rPr>
      <t xml:space="preserve"> (excluding Template Column)
 - Till the Row that contains </t>
    </r>
    <r>
      <rPr>
        <b/>
        <sz val="10"/>
        <rFont val="Arial"/>
        <family val="2"/>
      </rPr>
      <t>Overall Weighted Score.
Sort</t>
    </r>
    <r>
      <rPr>
        <sz val="10"/>
        <rFont val="Arial"/>
        <family val="2"/>
      </rPr>
      <t xml:space="preserve">
 - </t>
    </r>
    <r>
      <rPr>
        <b/>
        <sz val="10"/>
        <rFont val="Arial"/>
        <family val="2"/>
      </rPr>
      <t>Data</t>
    </r>
    <r>
      <rPr>
        <sz val="10"/>
        <rFont val="Arial"/>
        <family val="2"/>
      </rPr>
      <t xml:space="preserve"> - </t>
    </r>
    <r>
      <rPr>
        <b/>
        <sz val="10"/>
        <rFont val="Arial"/>
        <family val="2"/>
      </rPr>
      <t>Sort</t>
    </r>
    <r>
      <rPr>
        <sz val="10"/>
        <rFont val="Arial"/>
        <family val="2"/>
      </rPr>
      <t xml:space="preserve"> - </t>
    </r>
    <r>
      <rPr>
        <b/>
        <sz val="10"/>
        <rFont val="Arial"/>
        <family val="2"/>
      </rPr>
      <t>Options</t>
    </r>
    <r>
      <rPr>
        <sz val="10"/>
        <rFont val="Arial"/>
        <family val="2"/>
      </rPr>
      <t xml:space="preserve"> - </t>
    </r>
    <r>
      <rPr>
        <b/>
        <sz val="10"/>
        <rFont val="Arial"/>
        <family val="2"/>
      </rPr>
      <t>Sort Left to Right</t>
    </r>
    <r>
      <rPr>
        <sz val="10"/>
        <rFont val="Arial"/>
        <family val="2"/>
      </rPr>
      <t xml:space="preserve">
 - Sort by </t>
    </r>
    <r>
      <rPr>
        <b/>
        <sz val="10"/>
        <rFont val="Arial"/>
        <family val="2"/>
      </rPr>
      <t>Row Number</t>
    </r>
    <r>
      <rPr>
        <sz val="10"/>
        <rFont val="Arial"/>
        <family val="2"/>
      </rPr>
      <t xml:space="preserve"> that contains </t>
    </r>
    <r>
      <rPr>
        <b/>
        <sz val="10"/>
        <rFont val="Arial"/>
        <family val="2"/>
      </rPr>
      <t>Overall Weighted Score</t>
    </r>
    <r>
      <rPr>
        <sz val="10"/>
        <rFont val="Arial"/>
        <family val="2"/>
      </rPr>
      <t xml:space="preserve">.
 - Press </t>
    </r>
    <r>
      <rPr>
        <b/>
        <sz val="10"/>
        <rFont val="Arial"/>
        <family val="2"/>
      </rPr>
      <t xml:space="preserve">Ok </t>
    </r>
  </si>
  <si>
    <r>
      <t>To add a new Alternative:</t>
    </r>
    <r>
      <rPr>
        <sz val="10"/>
        <rFont val="Arial"/>
        <family val="2"/>
      </rPr>
      <t xml:space="preserve">
 1. Insert a column at </t>
    </r>
    <r>
      <rPr>
        <b/>
        <sz val="10"/>
        <rFont val="Arial"/>
        <family val="2"/>
      </rPr>
      <t>Template Column</t>
    </r>
    <r>
      <rPr>
        <sz val="10"/>
        <rFont val="Arial"/>
        <family val="2"/>
      </rPr>
      <t xml:space="preserve">
 2. Selected &amp; copy the entire row named </t>
    </r>
    <r>
      <rPr>
        <b/>
        <sz val="10"/>
        <rFont val="Arial"/>
        <family val="2"/>
      </rPr>
      <t>Template Column</t>
    </r>
    <r>
      <rPr>
        <sz val="10"/>
        <rFont val="Arial"/>
        <family val="2"/>
      </rPr>
      <t xml:space="preserve"> 
 3. Paste the </t>
    </r>
    <r>
      <rPr>
        <b/>
        <sz val="10"/>
        <rFont val="Arial"/>
        <family val="2"/>
      </rPr>
      <t>Template Column</t>
    </r>
    <r>
      <rPr>
        <sz val="10"/>
        <rFont val="Arial"/>
        <family val="2"/>
      </rPr>
      <t xml:space="preserve"> onto the newly inserted column as of </t>
    </r>
    <r>
      <rPr>
        <b/>
        <sz val="10"/>
        <rFont val="Arial"/>
        <family val="2"/>
      </rPr>
      <t>step 1</t>
    </r>
    <r>
      <rPr>
        <sz val="10"/>
        <rFont val="Arial"/>
        <family val="2"/>
      </rPr>
      <t xml:space="preserve">.
 4. Enter the </t>
    </r>
    <r>
      <rPr>
        <b/>
        <sz val="10"/>
        <rFont val="Arial"/>
        <family val="2"/>
      </rPr>
      <t>Description of Alternative</t>
    </r>
    <r>
      <rPr>
        <sz val="10"/>
        <rFont val="Arial"/>
        <family val="2"/>
      </rPr>
      <t xml:space="preserve">  in the inserted Column (</t>
    </r>
    <r>
      <rPr>
        <b/>
        <sz val="10"/>
        <rFont val="Arial"/>
        <family val="2"/>
      </rPr>
      <t>Row 6</t>
    </r>
    <r>
      <rPr>
        <sz val="10"/>
        <rFont val="Arial"/>
        <family val="2"/>
      </rPr>
      <t>).</t>
    </r>
  </si>
  <si>
    <t>Summary Sheet</t>
  </si>
  <si>
    <t>Select technique used for analysis</t>
  </si>
  <si>
    <t>Grid Analysis Report</t>
  </si>
  <si>
    <t>Pugh Matrix analysis</t>
  </si>
  <si>
    <t xml:space="preserve">Decision: </t>
  </si>
  <si>
    <t>Sunil Shenoy, Mahesh</t>
  </si>
  <si>
    <t>Added Pugh matrix analysis
Renamed decision template to Grid analysis
Created a summary sheet for identifying evaluation method</t>
  </si>
  <si>
    <t>30/06/2010</t>
  </si>
  <si>
    <t>Example - Pugh Matrix analysis</t>
  </si>
  <si>
    <t>Anshuman Behera</t>
  </si>
  <si>
    <t>07/12/2011</t>
  </si>
  <si>
    <t>Added background information and context of DAR in summary sheet</t>
  </si>
  <si>
    <t>Project Manager</t>
  </si>
  <si>
    <t>Moderator</t>
  </si>
  <si>
    <t>Participants</t>
  </si>
  <si>
    <t>Period of Analysis</t>
  </si>
  <si>
    <t>Date of DAR</t>
  </si>
  <si>
    <t>Project Name/ PIF ID</t>
  </si>
  <si>
    <t>Trigger for DAR</t>
  </si>
  <si>
    <t>Other Details, if any</t>
  </si>
  <si>
    <t>Topic of DAR</t>
  </si>
  <si>
    <t>25/06/2014</t>
  </si>
  <si>
    <t>Swathy Rao</t>
  </si>
  <si>
    <t>Added Evaluation Method and Scale fields in sheet 'Grid_Analysis'</t>
  </si>
  <si>
    <t>25/02/2015</t>
  </si>
  <si>
    <t>Nayeema Rasheed</t>
  </si>
  <si>
    <t>Currency check done and no changes required</t>
  </si>
  <si>
    <t>EI_300013</t>
  </si>
  <si>
    <t>To Hoa Duy Man (RBVH/ETI1)</t>
  </si>
  <si>
    <t>initial</t>
  </si>
  <si>
    <t>To Hoa Duy Man</t>
  </si>
  <si>
    <t>Dang Thi Thao My (RBVH/ETI14)</t>
  </si>
  <si>
    <t>Nguyen Anh Quan (RBVH/ETI14)
Bui Nguyen Thien Khanh(RBVH/ETI14)
Le Huynh Anh Tuan (RBVH/ETI14)</t>
  </si>
  <si>
    <t>DAR Report - Selection of an Web Application Front End Charts among CanvasJS - Highcharts</t>
  </si>
  <si>
    <t>Highcharts</t>
  </si>
  <si>
    <t>CanvasJS</t>
  </si>
  <si>
    <t>Rendering</t>
  </si>
  <si>
    <t>Android , Browsers, iOS</t>
  </si>
  <si>
    <t>Cross devices including iPhone, iPad, Android,Windows phone, Desktops, etc</t>
  </si>
  <si>
    <t>Chart types</t>
  </si>
  <si>
    <t>Supporting 20 types.</t>
  </si>
  <si>
    <t>Performance</t>
  </si>
  <si>
    <t>Thousand points rendering without performance issues</t>
  </si>
  <si>
    <t>Slow down when too much points appear</t>
  </si>
  <si>
    <t>24 chart types</t>
  </si>
  <si>
    <t>Browser support</t>
  </si>
  <si>
    <t>All type of support but not lastest</t>
  </si>
  <si>
    <t>Up to date browser versions</t>
  </si>
  <si>
    <t>Documentation</t>
  </si>
  <si>
    <t>Specific but not customized</t>
  </si>
  <si>
    <t>Multiple axes support</t>
  </si>
  <si>
    <t>Y axes supporting is limited</t>
  </si>
  <si>
    <t>Support multiple Y axes important to comparing numbers.</t>
  </si>
  <si>
    <t>Commercial</t>
  </si>
  <si>
    <t>299$ per developer</t>
  </si>
  <si>
    <t>$590 per developer</t>
  </si>
  <si>
    <t>Large community and and good documentation</t>
  </si>
  <si>
    <t>Decision: Highcharts is the best alternative.</t>
  </si>
  <si>
    <t>Nguyen Anh Quan (RBVH/ETI14)</t>
  </si>
  <si>
    <t>Selection for chart library</t>
  </si>
  <si>
    <t>&lt;13-Mar-2017&gt; to &lt;14-Mar-17&gt;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</si>
</sst>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39" x14ac:knownFonts="1">
    <font>
      <sz val="10"/>
      <name val="Arial"/>
    </font>
    <font>
      <sz val="10"/>
      <name val="Arial"/>
      <family val="2"/>
    </font>
    <font>
      <b/>
      <sz val="12"/>
      <name val="Arial"/>
      <family val="2"/>
    </font>
    <font>
      <sz val="10"/>
      <name val="Arial"/>
      <family val="2"/>
    </font>
    <font>
      <sz val="11"/>
      <name val="Arial"/>
      <family val="2"/>
    </font>
    <font>
      <b/>
      <sz val="11"/>
      <name val="Arial"/>
      <family val="2"/>
    </font>
    <font>
      <sz val="8"/>
      <color indexed="81"/>
      <name val="Tahoma"/>
      <family val="2"/>
    </font>
    <font>
      <b/>
      <sz val="8"/>
      <color indexed="81"/>
      <name val="Tahoma"/>
      <family val="2"/>
    </font>
    <font>
      <b/>
      <sz val="10"/>
      <name val="Arial"/>
      <family val="2"/>
    </font>
    <font>
      <sz val="14"/>
      <name val="Arial"/>
      <family val="2"/>
    </font>
    <font>
      <b/>
      <sz val="10"/>
      <name val="Arial"/>
      <family val="2"/>
    </font>
    <font>
      <b/>
      <sz val="14"/>
      <name val="Arial"/>
      <family val="2"/>
    </font>
    <font>
      <u/>
      <sz val="10"/>
      <color indexed="12"/>
      <name val="Arial"/>
      <family val="2"/>
    </font>
    <font>
      <sz val="8"/>
      <name val="Arial"/>
      <family val="2"/>
    </font>
    <font>
      <b/>
      <sz val="12"/>
      <name val="Arial"/>
      <family val="2"/>
    </font>
    <font>
      <sz val="8"/>
      <name val="Arial"/>
      <family val="2"/>
    </font>
    <font>
      <b/>
      <sz val="14"/>
      <name val="Arial"/>
      <family val="2"/>
    </font>
    <font>
      <b/>
      <sz val="16"/>
      <name val="Arial"/>
      <family val="2"/>
    </font>
    <font>
      <sz val="10"/>
      <name val="Arial"/>
      <family val="2"/>
    </font>
    <font>
      <sz val="10"/>
      <color indexed="10"/>
      <name val="Arial"/>
      <family val="2"/>
    </font>
    <font>
      <sz val="10"/>
      <name val="Arial"/>
      <family val="2"/>
    </font>
    <font>
      <b/>
      <sz val="8"/>
      <name val="Arial"/>
      <family val="2"/>
    </font>
    <font>
      <sz val="11"/>
      <name val="Arial"/>
      <family val="2"/>
    </font>
    <font>
      <sz val="9"/>
      <name val="Arial"/>
      <family val="2"/>
    </font>
    <font>
      <b/>
      <sz val="9"/>
      <name val="Arial"/>
      <family val="2"/>
    </font>
    <font>
      <b/>
      <sz val="10"/>
      <color indexed="12"/>
      <name val="Arial"/>
      <family val="2"/>
    </font>
    <font>
      <b/>
      <sz val="12"/>
      <color indexed="12"/>
      <name val="Arial"/>
      <family val="2"/>
    </font>
    <font>
      <sz val="10"/>
      <color indexed="12"/>
      <name val="Arial"/>
      <family val="2"/>
    </font>
    <font>
      <b/>
      <sz val="10"/>
      <color indexed="12"/>
      <name val="Arial"/>
      <family val="2"/>
    </font>
    <font>
      <b/>
      <sz val="9"/>
      <color indexed="12"/>
      <name val="Arial"/>
      <family val="2"/>
    </font>
    <font>
      <b/>
      <i/>
      <sz val="8"/>
      <name val="Arial"/>
      <family val="2"/>
    </font>
    <font>
      <i/>
      <sz val="8"/>
      <name val="Arial"/>
      <family val="2"/>
    </font>
    <font>
      <b/>
      <sz val="8"/>
      <color indexed="12"/>
      <name val="Tahoma"/>
      <family val="2"/>
    </font>
    <font>
      <b/>
      <sz val="8"/>
      <name val="Arial"/>
      <family val="2"/>
    </font>
    <font>
      <sz val="10"/>
      <name val="Arial"/>
      <family val="2"/>
    </font>
    <font>
      <b/>
      <i/>
      <sz val="8"/>
      <name val="Arial"/>
      <family val="2"/>
    </font>
    <font>
      <sz val="10"/>
      <name val="Arial"/>
      <family val="2"/>
    </font>
    <font>
      <i/>
      <sz val="10"/>
      <name val="Arial"/>
      <family val="2"/>
    </font>
    <font>
      <b/>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s>
  <borders count="6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561">
    <xf numFmtId="0" fontId="0" fillId="0" borderId="0" xfId="0"/>
    <xf numFmtId="0" fontId="0" fillId="2" borderId="0" xfId="0" applyFill="1"/>
    <xf numFmtId="0" fontId="2"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left"/>
    </xf>
    <xf numFmtId="0" fontId="0" fillId="2" borderId="0" xfId="0" applyFill="1" applyAlignment="1"/>
    <xf numFmtId="0" fontId="0" fillId="2" borderId="0" xfId="0" applyFill="1" applyBorder="1"/>
    <xf numFmtId="0" fontId="2" fillId="2" borderId="0" xfId="0" applyFont="1" applyFill="1" applyBorder="1"/>
    <xf numFmtId="0" fontId="0" fillId="2" borderId="0" xfId="0" applyFill="1" applyAlignment="1">
      <alignment wrapText="1"/>
    </xf>
    <xf numFmtId="0" fontId="0" fillId="2" borderId="0" xfId="0" applyFill="1" applyBorder="1" applyAlignment="1">
      <alignment wrapText="1"/>
    </xf>
    <xf numFmtId="0" fontId="0" fillId="0" borderId="0" xfId="0" applyAlignment="1">
      <alignment wrapText="1"/>
    </xf>
    <xf numFmtId="0" fontId="0" fillId="2" borderId="0" xfId="0" applyFill="1" applyAlignment="1">
      <alignment horizontal="center" vertical="center"/>
    </xf>
    <xf numFmtId="0" fontId="4" fillId="0" borderId="0" xfId="0" applyFont="1" applyBorder="1" applyAlignment="1">
      <alignment horizontal="left" vertical="center" wrapText="1"/>
    </xf>
    <xf numFmtId="0" fontId="4" fillId="2" borderId="0" xfId="0" applyFont="1" applyFill="1" applyBorder="1"/>
    <xf numFmtId="0" fontId="4" fillId="0" borderId="0" xfId="0" applyFont="1" applyBorder="1" applyAlignment="1">
      <alignment horizontal="center" vertical="center"/>
    </xf>
    <xf numFmtId="0" fontId="0" fillId="0" borderId="0" xfId="0" applyBorder="1" applyAlignment="1">
      <alignment horizontal="left" vertical="center" wrapText="1"/>
    </xf>
    <xf numFmtId="0" fontId="0" fillId="0" borderId="0" xfId="0" applyBorder="1" applyAlignment="1">
      <alignment horizontal="center" vertical="center"/>
    </xf>
    <xf numFmtId="0" fontId="4" fillId="2" borderId="0" xfId="0" applyFont="1" applyFill="1" applyBorder="1" applyAlignment="1">
      <alignment horizontal="center"/>
    </xf>
    <xf numFmtId="0" fontId="2" fillId="0" borderId="0" xfId="0" applyFont="1" applyFill="1" applyBorder="1"/>
    <xf numFmtId="0" fontId="4" fillId="0" borderId="0" xfId="0" quotePrefix="1" applyFont="1" applyFill="1" applyBorder="1" applyAlignment="1">
      <alignment horizontal="center"/>
    </xf>
    <xf numFmtId="0" fontId="4" fillId="0" borderId="0" xfId="0" applyFont="1" applyBorder="1" applyAlignment="1">
      <alignment horizontal="center"/>
    </xf>
    <xf numFmtId="0" fontId="0" fillId="0" borderId="0" xfId="0" applyBorder="1" applyAlignment="1"/>
    <xf numFmtId="49" fontId="4" fillId="0" borderId="0" xfId="0" applyNumberFormat="1" applyFont="1" applyBorder="1" applyAlignment="1">
      <alignment horizontal="left" vertical="center" wrapText="1"/>
    </xf>
    <xf numFmtId="0" fontId="4" fillId="0" borderId="0" xfId="0" quotePrefix="1" applyFont="1" applyBorder="1" applyAlignment="1">
      <alignment horizontal="center" vertical="center"/>
    </xf>
    <xf numFmtId="0" fontId="4" fillId="0" borderId="1" xfId="0" quotePrefix="1" applyFont="1" applyBorder="1" applyAlignment="1">
      <alignment horizontal="center" vertical="center" wrapText="1"/>
    </xf>
    <xf numFmtId="0" fontId="0" fillId="0" borderId="2" xfId="0" applyBorder="1" applyAlignment="1">
      <alignment horizontal="left" wrapText="1"/>
    </xf>
    <xf numFmtId="0" fontId="0" fillId="0" borderId="3" xfId="0" applyBorder="1" applyAlignment="1">
      <alignment horizontal="left" wrapText="1"/>
    </xf>
    <xf numFmtId="0" fontId="2" fillId="0" borderId="0" xfId="0" applyFont="1" applyAlignment="1">
      <alignment horizontal="left"/>
    </xf>
    <xf numFmtId="0" fontId="0" fillId="0" borderId="0" xfId="0" applyAlignment="1">
      <alignment horizontal="left"/>
    </xf>
    <xf numFmtId="0" fontId="8" fillId="0" borderId="0" xfId="0" applyFont="1" applyAlignment="1">
      <alignment horizontal="right"/>
    </xf>
    <xf numFmtId="14" fontId="8" fillId="0" borderId="0" xfId="0" applyNumberFormat="1" applyFont="1" applyBorder="1" applyAlignment="1">
      <alignment horizontal="left"/>
    </xf>
    <xf numFmtId="0" fontId="0" fillId="0" borderId="0" xfId="0" applyBorder="1" applyAlignment="1" applyProtection="1">
      <alignment horizontal="center" vertical="top"/>
    </xf>
    <xf numFmtId="0" fontId="0" fillId="0" borderId="0" xfId="0" applyBorder="1" applyAlignment="1" applyProtection="1">
      <alignment vertical="top"/>
    </xf>
    <xf numFmtId="0" fontId="2" fillId="0" borderId="0" xfId="0" applyFont="1" applyBorder="1" applyAlignment="1" applyProtection="1">
      <alignment horizontal="center" vertical="center" wrapText="1"/>
    </xf>
    <xf numFmtId="0" fontId="9" fillId="0" borderId="0" xfId="0" quotePrefix="1" applyFont="1" applyBorder="1" applyAlignment="1" applyProtection="1">
      <alignment horizontal="center" vertical="center" wrapText="1"/>
    </xf>
    <xf numFmtId="0" fontId="2" fillId="0" borderId="0" xfId="0" applyNumberFormat="1" applyFont="1" applyAlignment="1">
      <alignment horizontal="center" vertical="center" wrapText="1"/>
    </xf>
    <xf numFmtId="0" fontId="8" fillId="0" borderId="0" xfId="0" applyFont="1" applyFill="1" applyBorder="1" applyAlignment="1" applyProtection="1">
      <alignment horizontal="right" vertical="top"/>
    </xf>
    <xf numFmtId="0" fontId="8" fillId="0" borderId="0"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xf>
    <xf numFmtId="14" fontId="10" fillId="0" borderId="0" xfId="0" applyNumberFormat="1" applyFont="1" applyBorder="1" applyAlignment="1" applyProtection="1">
      <alignment vertical="top"/>
    </xf>
    <xf numFmtId="0" fontId="0" fillId="0" borderId="4" xfId="0" applyBorder="1" applyAlignment="1"/>
    <xf numFmtId="0" fontId="0" fillId="0" borderId="5" xfId="0" applyBorder="1" applyAlignment="1"/>
    <xf numFmtId="0" fontId="0" fillId="0" borderId="0" xfId="0" applyBorder="1"/>
    <xf numFmtId="0" fontId="8" fillId="3" borderId="1" xfId="0" applyFont="1" applyFill="1" applyBorder="1" applyAlignment="1">
      <alignment horizontal="left" vertical="top" wrapText="1"/>
    </xf>
    <xf numFmtId="0" fontId="8" fillId="0" borderId="0" xfId="0" applyFont="1" applyAlignment="1">
      <alignment horizontal="left" vertical="top" wrapText="1"/>
    </xf>
    <xf numFmtId="0" fontId="0" fillId="0" borderId="0" xfId="0" applyAlignment="1">
      <alignment horizontal="left" vertical="top" wrapText="1"/>
    </xf>
    <xf numFmtId="0" fontId="8" fillId="0" borderId="0" xfId="0" applyFont="1"/>
    <xf numFmtId="0" fontId="4" fillId="0" borderId="6" xfId="0" quotePrefix="1" applyFont="1" applyBorder="1" applyAlignment="1">
      <alignment horizontal="center" vertical="center" wrapText="1"/>
    </xf>
    <xf numFmtId="0" fontId="4" fillId="2" borderId="0" xfId="0" applyFont="1" applyFill="1" applyBorder="1" applyAlignment="1">
      <alignment horizontal="center" wrapText="1"/>
    </xf>
    <xf numFmtId="0" fontId="2" fillId="0" borderId="0" xfId="0" applyFont="1" applyFill="1" applyBorder="1" applyAlignment="1">
      <alignment horizontal="left" vertical="top"/>
    </xf>
    <xf numFmtId="0" fontId="0" fillId="0" borderId="0" xfId="0" applyFill="1" applyBorder="1"/>
    <xf numFmtId="0" fontId="5" fillId="0" borderId="0" xfId="0" applyFont="1" applyBorder="1" applyAlignment="1">
      <alignment horizontal="left"/>
    </xf>
    <xf numFmtId="0" fontId="0" fillId="2" borderId="0" xfId="0" applyFill="1" applyBorder="1" applyAlignment="1">
      <alignment horizontal="center"/>
    </xf>
    <xf numFmtId="0" fontId="2" fillId="3" borderId="7" xfId="0" applyFont="1" applyFill="1" applyBorder="1" applyAlignment="1">
      <alignment horizontal="left" vertical="top"/>
    </xf>
    <xf numFmtId="0" fontId="2" fillId="3" borderId="8" xfId="0" applyFont="1" applyFill="1" applyBorder="1" applyAlignment="1">
      <alignment horizontal="left" vertical="top"/>
    </xf>
    <xf numFmtId="0" fontId="2" fillId="3" borderId="9" xfId="0" applyFont="1" applyFill="1" applyBorder="1" applyAlignment="1">
      <alignment horizontal="left" vertical="top"/>
    </xf>
    <xf numFmtId="0" fontId="2" fillId="0" borderId="9" xfId="0" applyFont="1" applyBorder="1" applyAlignment="1">
      <alignment horizontal="center" vertical="center"/>
    </xf>
    <xf numFmtId="0" fontId="0" fillId="0" borderId="2" xfId="0" applyBorder="1" applyAlignment="1">
      <alignment horizontal="center" vertical="center"/>
    </xf>
    <xf numFmtId="0" fontId="2" fillId="0" borderId="10" xfId="0" applyFont="1" applyBorder="1" applyAlignment="1">
      <alignment horizontal="center" vertical="center"/>
    </xf>
    <xf numFmtId="0" fontId="5" fillId="0" borderId="0" xfId="0" applyFont="1" applyBorder="1" applyAlignment="1">
      <alignment horizontal="left" wrapText="1"/>
    </xf>
    <xf numFmtId="0" fontId="4" fillId="0" borderId="11" xfId="0" quotePrefix="1" applyFont="1" applyBorder="1" applyAlignment="1">
      <alignment horizontal="center" vertical="center" wrapText="1"/>
    </xf>
    <xf numFmtId="0" fontId="4" fillId="0" borderId="12" xfId="0" quotePrefix="1"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16" xfId="0" applyFont="1" applyBorder="1" applyAlignment="1">
      <alignment horizontal="center" vertical="center" wrapText="1"/>
    </xf>
    <xf numFmtId="0" fontId="2" fillId="2" borderId="17" xfId="0" applyFont="1" applyFill="1" applyBorder="1" applyAlignment="1">
      <alignment horizontal="left" vertical="top" wrapText="1"/>
    </xf>
    <xf numFmtId="0" fontId="2" fillId="2" borderId="0" xfId="0" applyFont="1" applyFill="1" applyAlignment="1">
      <alignment horizontal="left" vertical="top" wrapText="1"/>
    </xf>
    <xf numFmtId="0" fontId="0" fillId="2" borderId="0" xfId="0" applyFill="1" applyAlignment="1">
      <alignment horizontal="left" vertical="top" wrapText="1"/>
    </xf>
    <xf numFmtId="0" fontId="2" fillId="3" borderId="13" xfId="0" applyFont="1" applyFill="1" applyBorder="1" applyAlignment="1">
      <alignment horizontal="left" vertical="top"/>
    </xf>
    <xf numFmtId="0" fontId="2" fillId="3" borderId="18" xfId="0" applyFont="1" applyFill="1" applyBorder="1" applyAlignment="1">
      <alignment horizontal="left" vertical="top"/>
    </xf>
    <xf numFmtId="0" fontId="2" fillId="3" borderId="11" xfId="0" applyFont="1" applyFill="1" applyBorder="1" applyAlignment="1">
      <alignment horizontal="left" vertical="top"/>
    </xf>
    <xf numFmtId="0" fontId="5" fillId="2" borderId="17" xfId="0" applyFont="1" applyFill="1" applyBorder="1" applyAlignment="1">
      <alignment horizontal="center" wrapText="1"/>
    </xf>
    <xf numFmtId="0" fontId="5" fillId="2" borderId="19" xfId="0" applyFont="1" applyFill="1" applyBorder="1" applyAlignment="1">
      <alignment horizontal="center" wrapText="1"/>
    </xf>
    <xf numFmtId="49" fontId="0" fillId="2" borderId="20" xfId="0" applyNumberFormat="1" applyFill="1" applyBorder="1" applyAlignment="1">
      <alignment horizontal="center" wrapText="1"/>
    </xf>
    <xf numFmtId="0" fontId="2" fillId="2" borderId="21"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0" fillId="0" borderId="23" xfId="0" applyBorder="1" applyAlignment="1">
      <alignment horizontal="left" wrapText="1"/>
    </xf>
    <xf numFmtId="0" fontId="4" fillId="0" borderId="0" xfId="0" applyFont="1" applyBorder="1" applyAlignment="1">
      <alignment vertical="center" wrapText="1"/>
    </xf>
    <xf numFmtId="0" fontId="0" fillId="0" borderId="0" xfId="0" applyAlignment="1"/>
    <xf numFmtId="0" fontId="12" fillId="0" borderId="0" xfId="1" applyAlignment="1" applyProtection="1"/>
    <xf numFmtId="0" fontId="12" fillId="0" borderId="0" xfId="1" applyFont="1" applyBorder="1" applyAlignment="1" applyProtection="1">
      <alignment wrapText="1"/>
    </xf>
    <xf numFmtId="0" fontId="4" fillId="0" borderId="24" xfId="0" quotePrefix="1" applyFont="1" applyBorder="1" applyAlignment="1">
      <alignment vertical="center"/>
    </xf>
    <xf numFmtId="0" fontId="4" fillId="0" borderId="15" xfId="0" quotePrefix="1" applyFont="1" applyBorder="1" applyAlignment="1">
      <alignment horizontal="center" vertical="center"/>
    </xf>
    <xf numFmtId="0" fontId="4" fillId="0" borderId="24" xfId="0" applyFont="1" applyBorder="1" applyAlignment="1">
      <alignment vertical="center"/>
    </xf>
    <xf numFmtId="0" fontId="4" fillId="0" borderId="0" xfId="0" applyFont="1" applyAlignment="1">
      <alignment wrapText="1"/>
    </xf>
    <xf numFmtId="0" fontId="0" fillId="0" borderId="0" xfId="0" applyAlignment="1">
      <alignment horizontal="left" wrapText="1"/>
    </xf>
    <xf numFmtId="165" fontId="0" fillId="0" borderId="17" xfId="0" quotePrefix="1" applyNumberFormat="1" applyBorder="1" applyAlignment="1">
      <alignment horizontal="center" vertical="top" wrapText="1"/>
    </xf>
    <xf numFmtId="0" fontId="4" fillId="0" borderId="0" xfId="0" applyFont="1" applyBorder="1" applyAlignment="1">
      <alignment horizontal="left" vertical="top" wrapText="1"/>
    </xf>
    <xf numFmtId="0" fontId="4" fillId="0" borderId="25" xfId="0" quotePrefix="1" applyFont="1" applyBorder="1" applyAlignment="1">
      <alignment horizontal="center" vertical="center"/>
    </xf>
    <xf numFmtId="0" fontId="2" fillId="2" borderId="20" xfId="0" applyFont="1" applyFill="1" applyBorder="1" applyAlignment="1">
      <alignment horizontal="center" vertical="center" wrapText="1"/>
    </xf>
    <xf numFmtId="0" fontId="4" fillId="0" borderId="25" xfId="0" applyFont="1" applyBorder="1" applyAlignment="1">
      <alignment horizontal="center" vertical="center"/>
    </xf>
    <xf numFmtId="0" fontId="8" fillId="0" borderId="0" xfId="0" applyFont="1" applyBorder="1" applyAlignment="1">
      <alignment horizontal="left"/>
    </xf>
    <xf numFmtId="49" fontId="4" fillId="2" borderId="0" xfId="0" applyNumberFormat="1" applyFont="1" applyFill="1" applyBorder="1" applyAlignment="1">
      <alignment horizontal="center"/>
    </xf>
    <xf numFmtId="0" fontId="2" fillId="0" borderId="0" xfId="0" applyFont="1" applyAlignment="1">
      <alignment horizontal="center"/>
    </xf>
    <xf numFmtId="0" fontId="13" fillId="2" borderId="0" xfId="0" applyFont="1" applyFill="1" applyBorder="1" applyAlignment="1">
      <alignment vertical="center"/>
    </xf>
    <xf numFmtId="0" fontId="8" fillId="3" borderId="17" xfId="0" applyFont="1" applyFill="1" applyBorder="1" applyAlignment="1">
      <alignment horizontal="center" vertical="top" wrapText="1"/>
    </xf>
    <xf numFmtId="0" fontId="1" fillId="2" borderId="0" xfId="0" applyFont="1" applyFill="1"/>
    <xf numFmtId="0" fontId="11" fillId="2" borderId="0" xfId="0" applyFont="1" applyFill="1" applyBorder="1" applyAlignment="1">
      <alignment vertical="center"/>
    </xf>
    <xf numFmtId="0" fontId="14" fillId="2" borderId="0" xfId="0" applyFont="1" applyFill="1" applyBorder="1" applyAlignment="1">
      <alignment horizontal="left" vertical="center"/>
    </xf>
    <xf numFmtId="0" fontId="10" fillId="2" borderId="0" xfId="0" applyFont="1" applyFill="1" applyBorder="1" applyAlignment="1">
      <alignment vertical="center"/>
    </xf>
    <xf numFmtId="0" fontId="15" fillId="2" borderId="0" xfId="0" applyFont="1" applyFill="1" applyBorder="1" applyAlignment="1">
      <alignment vertical="center"/>
    </xf>
    <xf numFmtId="0" fontId="10" fillId="2" borderId="0" xfId="0" applyFont="1" applyFill="1" applyBorder="1" applyAlignment="1">
      <alignment horizontal="left" vertical="center"/>
    </xf>
    <xf numFmtId="0" fontId="16" fillId="2" borderId="0" xfId="0" applyFont="1" applyFill="1" applyBorder="1" applyAlignment="1">
      <alignment vertical="center"/>
    </xf>
    <xf numFmtId="0" fontId="14" fillId="2" borderId="0" xfId="0" applyFont="1" applyFill="1" applyBorder="1" applyAlignment="1">
      <alignment vertical="center"/>
    </xf>
    <xf numFmtId="0" fontId="17" fillId="0" borderId="0" xfId="0" applyFont="1" applyBorder="1"/>
    <xf numFmtId="0" fontId="11" fillId="0" borderId="26" xfId="0" applyFont="1" applyFill="1" applyBorder="1" applyAlignment="1">
      <alignment horizontal="left"/>
    </xf>
    <xf numFmtId="15" fontId="0" fillId="0" borderId="17" xfId="0" applyNumberFormat="1" applyBorder="1" applyAlignment="1">
      <alignment horizontal="center" vertical="top" wrapText="1"/>
    </xf>
    <xf numFmtId="164" fontId="0" fillId="0" borderId="1" xfId="0" applyNumberFormat="1" applyBorder="1" applyAlignment="1">
      <alignment horizontal="center" vertical="top" wrapText="1"/>
    </xf>
    <xf numFmtId="0" fontId="0" fillId="0" borderId="1" xfId="0" applyBorder="1" applyAlignment="1">
      <alignment horizontal="center" vertical="top" wrapText="1"/>
    </xf>
    <xf numFmtId="0" fontId="11" fillId="0" borderId="0" xfId="0" applyFont="1" applyAlignment="1">
      <alignment horizontal="center"/>
    </xf>
    <xf numFmtId="0" fontId="1" fillId="0" borderId="0" xfId="0" applyFont="1"/>
    <xf numFmtId="0" fontId="18" fillId="0" borderId="0" xfId="0" applyFont="1"/>
    <xf numFmtId="0" fontId="18" fillId="2" borderId="0" xfId="0" applyFont="1" applyFill="1"/>
    <xf numFmtId="0" fontId="18" fillId="2" borderId="0" xfId="0" applyFont="1" applyFill="1" applyAlignment="1">
      <alignment wrapText="1"/>
    </xf>
    <xf numFmtId="0" fontId="10" fillId="2" borderId="0" xfId="0" applyFont="1" applyFill="1" applyAlignment="1">
      <alignment horizontal="center"/>
    </xf>
    <xf numFmtId="0" fontId="10" fillId="3" borderId="17" xfId="0" applyFont="1" applyFill="1" applyBorder="1"/>
    <xf numFmtId="0" fontId="18" fillId="2" borderId="0" xfId="0" applyFont="1" applyFill="1" applyBorder="1" applyAlignment="1"/>
    <xf numFmtId="0" fontId="18" fillId="2" borderId="0" xfId="0" applyFont="1" applyFill="1" applyAlignment="1">
      <alignment horizontal="left"/>
    </xf>
    <xf numFmtId="0" fontId="18" fillId="2" borderId="0" xfId="0" applyFont="1" applyFill="1" applyAlignment="1"/>
    <xf numFmtId="0" fontId="18" fillId="2" borderId="0" xfId="0" applyFont="1" applyFill="1" applyAlignment="1">
      <alignment horizontal="center"/>
    </xf>
    <xf numFmtId="0" fontId="18" fillId="2" borderId="0" xfId="0" applyFont="1" applyFill="1" applyBorder="1" applyAlignment="1">
      <alignment horizontal="center"/>
    </xf>
    <xf numFmtId="0" fontId="10" fillId="0" borderId="0" xfId="0" applyFont="1" applyFill="1" applyBorder="1" applyAlignment="1">
      <alignment horizontal="left" vertical="top"/>
    </xf>
    <xf numFmtId="0" fontId="18" fillId="2" borderId="0" xfId="0" applyFont="1" applyFill="1" applyBorder="1" applyAlignment="1">
      <alignment horizontal="center" wrapText="1"/>
    </xf>
    <xf numFmtId="16" fontId="18" fillId="2" borderId="0" xfId="0" applyNumberFormat="1" applyFont="1" applyFill="1" applyBorder="1" applyAlignment="1">
      <alignment horizontal="center"/>
    </xf>
    <xf numFmtId="0" fontId="18" fillId="2" borderId="0" xfId="0" applyFont="1" applyFill="1" applyBorder="1"/>
    <xf numFmtId="0" fontId="18" fillId="0" borderId="24" xfId="0" applyFont="1" applyBorder="1" applyAlignment="1">
      <alignment horizontal="center" vertical="center" wrapText="1"/>
    </xf>
    <xf numFmtId="0" fontId="19" fillId="0" borderId="27" xfId="0" applyFont="1" applyBorder="1" applyAlignment="1">
      <alignment horizontal="center" vertical="center" wrapText="1"/>
    </xf>
    <xf numFmtId="0" fontId="20" fillId="0" borderId="24" xfId="0" applyFont="1" applyBorder="1" applyAlignment="1">
      <alignment horizontal="center" vertical="center" wrapText="1"/>
    </xf>
    <xf numFmtId="0" fontId="20" fillId="2" borderId="0" xfId="0" applyFont="1" applyFill="1"/>
    <xf numFmtId="0" fontId="10" fillId="0" borderId="0" xfId="0" applyFont="1" applyBorder="1" applyAlignment="1">
      <alignment horizontal="left"/>
    </xf>
    <xf numFmtId="0" fontId="20" fillId="3" borderId="20" xfId="0" applyFont="1" applyFill="1" applyBorder="1" applyAlignment="1">
      <alignment horizontal="center" vertical="center" wrapText="1"/>
    </xf>
    <xf numFmtId="0" fontId="20" fillId="0" borderId="0" xfId="0" applyFont="1"/>
    <xf numFmtId="0" fontId="18" fillId="0" borderId="2" xfId="0" applyFont="1" applyBorder="1" applyAlignment="1">
      <alignment horizontal="left" wrapText="1"/>
    </xf>
    <xf numFmtId="0" fontId="18" fillId="0" borderId="2" xfId="0" applyNumberFormat="1" applyFont="1" applyBorder="1" applyAlignment="1">
      <alignment horizontal="center" vertical="center" wrapText="1"/>
    </xf>
    <xf numFmtId="0" fontId="18" fillId="0" borderId="28" xfId="0" applyNumberFormat="1" applyFont="1" applyBorder="1" applyAlignment="1">
      <alignment horizontal="center" vertical="center" wrapText="1"/>
    </xf>
    <xf numFmtId="0" fontId="18" fillId="0" borderId="29" xfId="0" applyNumberFormat="1" applyFont="1" applyBorder="1" applyAlignment="1">
      <alignment horizontal="center" vertical="center" wrapText="1"/>
    </xf>
    <xf numFmtId="0" fontId="18" fillId="0" borderId="1" xfId="0" quotePrefix="1" applyNumberFormat="1" applyFont="1" applyBorder="1" applyAlignment="1">
      <alignment horizontal="center" vertical="center" wrapText="1"/>
    </xf>
    <xf numFmtId="0" fontId="18" fillId="0" borderId="2" xfId="0" quotePrefix="1" applyNumberFormat="1" applyFont="1" applyBorder="1" applyAlignment="1">
      <alignment horizontal="center" vertical="center" wrapText="1"/>
    </xf>
    <xf numFmtId="0" fontId="18" fillId="0" borderId="30" xfId="0" quotePrefix="1" applyNumberFormat="1" applyFont="1" applyBorder="1" applyAlignment="1">
      <alignment horizontal="center" vertical="center" wrapText="1"/>
    </xf>
    <xf numFmtId="0" fontId="18" fillId="0" borderId="3" xfId="0" applyFont="1" applyBorder="1" applyAlignment="1">
      <alignment horizontal="left" wrapText="1"/>
    </xf>
    <xf numFmtId="0" fontId="18" fillId="0" borderId="3" xfId="0" quotePrefix="1" applyNumberFormat="1" applyFont="1" applyBorder="1" applyAlignment="1">
      <alignment horizontal="center" vertical="center" wrapText="1"/>
    </xf>
    <xf numFmtId="0" fontId="18" fillId="0" borderId="3" xfId="0" applyNumberFormat="1" applyFont="1" applyBorder="1" applyAlignment="1">
      <alignment horizontal="center" vertical="center" wrapText="1"/>
    </xf>
    <xf numFmtId="0" fontId="18" fillId="0" borderId="31" xfId="0" quotePrefix="1" applyNumberFormat="1" applyFont="1" applyBorder="1" applyAlignment="1">
      <alignment horizontal="center" vertical="center" wrapText="1"/>
    </xf>
    <xf numFmtId="0" fontId="18" fillId="0" borderId="32" xfId="0" applyNumberFormat="1" applyFont="1" applyBorder="1" applyAlignment="1">
      <alignment horizontal="center" vertical="center" wrapText="1"/>
    </xf>
    <xf numFmtId="0" fontId="18" fillId="0" borderId="33" xfId="0" applyNumberFormat="1" applyFont="1" applyBorder="1" applyAlignment="1">
      <alignment horizontal="center" vertical="center" wrapText="1"/>
    </xf>
    <xf numFmtId="0" fontId="18" fillId="0" borderId="0" xfId="0" applyFont="1" applyBorder="1" applyAlignment="1">
      <alignment horizontal="center"/>
    </xf>
    <xf numFmtId="49" fontId="18" fillId="0" borderId="0" xfId="0" applyNumberFormat="1" applyFont="1" applyBorder="1" applyAlignment="1">
      <alignment horizontal="left" vertical="center" wrapText="1"/>
    </xf>
    <xf numFmtId="0" fontId="18" fillId="0" borderId="0" xfId="0" applyFont="1" applyBorder="1" applyAlignment="1"/>
    <xf numFmtId="0" fontId="18" fillId="0" borderId="0" xfId="0" applyFont="1" applyAlignment="1">
      <alignment wrapText="1"/>
    </xf>
    <xf numFmtId="0" fontId="18" fillId="0" borderId="21" xfId="0" quotePrefix="1" applyNumberFormat="1" applyFont="1" applyBorder="1" applyAlignment="1">
      <alignment horizontal="center" vertical="center"/>
    </xf>
    <xf numFmtId="0" fontId="18" fillId="0" borderId="20" xfId="0" quotePrefix="1" applyNumberFormat="1" applyFont="1" applyBorder="1" applyAlignment="1">
      <alignment horizontal="center" vertical="center"/>
    </xf>
    <xf numFmtId="0" fontId="18" fillId="0" borderId="34" xfId="0" quotePrefix="1" applyNumberFormat="1" applyFont="1" applyBorder="1" applyAlignment="1">
      <alignment horizontal="center" vertical="center"/>
    </xf>
    <xf numFmtId="0" fontId="18" fillId="0" borderId="0" xfId="0" quotePrefix="1" applyFont="1" applyBorder="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left" wrapText="1"/>
    </xf>
    <xf numFmtId="0" fontId="18" fillId="0" borderId="0" xfId="0" applyFont="1" applyBorder="1" applyAlignment="1">
      <alignment horizontal="left" vertical="center" wrapText="1"/>
    </xf>
    <xf numFmtId="0" fontId="18" fillId="2" borderId="0" xfId="0" applyFont="1" applyFill="1" applyAlignment="1">
      <alignment horizontal="center" vertical="center"/>
    </xf>
    <xf numFmtId="0" fontId="18" fillId="2" borderId="17" xfId="0" applyFont="1" applyFill="1" applyBorder="1" applyAlignment="1">
      <alignment horizontal="center" wrapText="1"/>
    </xf>
    <xf numFmtId="0" fontId="10" fillId="2" borderId="24" xfId="0" applyFont="1" applyFill="1" applyBorder="1" applyAlignment="1">
      <alignment vertical="center" wrapText="1"/>
    </xf>
    <xf numFmtId="0" fontId="13" fillId="2" borderId="0" xfId="0" applyFont="1" applyFill="1"/>
    <xf numFmtId="0" fontId="13" fillId="0" borderId="10" xfId="0" applyNumberFormat="1" applyFont="1" applyBorder="1" applyAlignment="1">
      <alignment horizontal="center" vertical="center" wrapText="1"/>
    </xf>
    <xf numFmtId="0" fontId="13" fillId="0" borderId="35" xfId="0" applyNumberFormat="1" applyFont="1" applyBorder="1" applyAlignment="1">
      <alignment horizontal="center" vertical="center" wrapText="1"/>
    </xf>
    <xf numFmtId="0" fontId="13" fillId="0" borderId="36" xfId="0" applyNumberFormat="1" applyFont="1" applyBorder="1" applyAlignment="1">
      <alignment horizontal="center" vertical="center" wrapText="1"/>
    </xf>
    <xf numFmtId="0" fontId="13" fillId="0" borderId="0" xfId="0" applyFont="1"/>
    <xf numFmtId="0" fontId="13" fillId="0" borderId="30" xfId="0" applyNumberFormat="1" applyFont="1" applyBorder="1" applyAlignment="1">
      <alignment horizontal="center" vertical="center" wrapText="1"/>
    </xf>
    <xf numFmtId="0" fontId="13" fillId="0" borderId="28" xfId="0" applyNumberFormat="1" applyFont="1" applyBorder="1" applyAlignment="1">
      <alignment horizontal="center" vertical="center" wrapText="1"/>
    </xf>
    <xf numFmtId="0" fontId="13" fillId="0" borderId="29" xfId="0" applyNumberFormat="1" applyFont="1" applyBorder="1" applyAlignment="1">
      <alignment horizontal="center" vertical="center" wrapText="1"/>
    </xf>
    <xf numFmtId="0" fontId="13" fillId="0" borderId="30" xfId="0" quotePrefix="1" applyNumberFormat="1" applyFont="1" applyBorder="1" applyAlignment="1">
      <alignment horizontal="center" vertical="center" wrapText="1"/>
    </xf>
    <xf numFmtId="0" fontId="19" fillId="0" borderId="37" xfId="0" applyFont="1" applyBorder="1" applyAlignment="1">
      <alignment horizontal="center" vertical="center" wrapText="1"/>
    </xf>
    <xf numFmtId="0" fontId="4" fillId="0" borderId="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2" xfId="0" applyFont="1" applyBorder="1" applyAlignment="1">
      <alignment horizontal="center" vertical="center"/>
    </xf>
    <xf numFmtId="0" fontId="4" fillId="0" borderId="38" xfId="0" applyFont="1" applyBorder="1" applyAlignment="1">
      <alignment horizontal="center" vertical="center" wrapText="1"/>
    </xf>
    <xf numFmtId="0" fontId="4" fillId="2" borderId="0" xfId="0" applyFont="1" applyFill="1" applyBorder="1" applyAlignment="1"/>
    <xf numFmtId="0" fontId="4" fillId="0" borderId="39" xfId="0" applyFont="1" applyBorder="1" applyAlignment="1">
      <alignment horizontal="center" vertical="center" wrapText="1"/>
    </xf>
    <xf numFmtId="0" fontId="4" fillId="0" borderId="1" xfId="0" applyFont="1" applyBorder="1" applyAlignment="1">
      <alignment horizontal="center" vertical="center" wrapText="1"/>
    </xf>
    <xf numFmtId="0" fontId="4" fillId="0" borderId="2" xfId="0" quotePrefix="1" applyFont="1" applyBorder="1" applyAlignment="1">
      <alignment horizontal="center" vertical="center" wrapText="1"/>
    </xf>
    <xf numFmtId="0" fontId="4" fillId="0" borderId="3" xfId="0" quotePrefix="1" applyFont="1" applyBorder="1" applyAlignment="1">
      <alignment horizontal="center" vertical="center" wrapText="1"/>
    </xf>
    <xf numFmtId="0" fontId="4" fillId="0" borderId="40" xfId="0" applyFont="1" applyBorder="1" applyAlignment="1">
      <alignment horizontal="center" vertical="center" wrapText="1"/>
    </xf>
    <xf numFmtId="0" fontId="4" fillId="0" borderId="3" xfId="0" applyFont="1" applyBorder="1" applyAlignment="1">
      <alignment horizontal="center" vertical="center" wrapText="1"/>
    </xf>
    <xf numFmtId="0" fontId="22" fillId="0" borderId="0" xfId="0" applyFont="1" applyBorder="1" applyAlignment="1"/>
    <xf numFmtId="0" fontId="8" fillId="0" borderId="11" xfId="0" applyFont="1" applyBorder="1" applyAlignment="1"/>
    <xf numFmtId="0" fontId="4" fillId="2" borderId="11" xfId="0" applyFont="1" applyFill="1" applyBorder="1" applyAlignment="1"/>
    <xf numFmtId="49" fontId="4" fillId="2" borderId="11" xfId="0" applyNumberFormat="1" applyFont="1" applyFill="1" applyBorder="1" applyAlignment="1"/>
    <xf numFmtId="0" fontId="18" fillId="0" borderId="40" xfId="0" quotePrefix="1" applyNumberFormat="1" applyFont="1" applyBorder="1" applyAlignment="1">
      <alignment horizontal="center" vertical="center" wrapText="1"/>
    </xf>
    <xf numFmtId="49" fontId="18" fillId="2" borderId="20" xfId="0" applyNumberFormat="1" applyFont="1" applyFill="1" applyBorder="1" applyAlignment="1">
      <alignment horizontal="center" wrapText="1"/>
    </xf>
    <xf numFmtId="0" fontId="8" fillId="0" borderId="0" xfId="0" applyFont="1" applyBorder="1" applyAlignment="1">
      <alignment horizontal="center" vertical="center"/>
    </xf>
    <xf numFmtId="0" fontId="11" fillId="0" borderId="0" xfId="0" applyFont="1" applyBorder="1" applyAlignment="1">
      <alignment horizontal="left" vertical="center"/>
    </xf>
    <xf numFmtId="0" fontId="2" fillId="0" borderId="0" xfId="0" applyFont="1" applyBorder="1" applyAlignment="1">
      <alignment horizontal="center" vertical="center"/>
    </xf>
    <xf numFmtId="0" fontId="17" fillId="0" borderId="0" xfId="0" applyFont="1"/>
    <xf numFmtId="0" fontId="21" fillId="0" borderId="0" xfId="0" applyFont="1"/>
    <xf numFmtId="0" fontId="2" fillId="0" borderId="0" xfId="0" applyFont="1"/>
    <xf numFmtId="0" fontId="8" fillId="3" borderId="24" xfId="0" applyFont="1" applyFill="1" applyBorder="1" applyAlignment="1">
      <alignment horizontal="center"/>
    </xf>
    <xf numFmtId="0" fontId="8" fillId="3" borderId="41" xfId="0" applyFont="1" applyFill="1" applyBorder="1" applyAlignment="1">
      <alignment horizontal="center"/>
    </xf>
    <xf numFmtId="0" fontId="8" fillId="3" borderId="22" xfId="0" applyFont="1" applyFill="1" applyBorder="1" applyAlignment="1">
      <alignment horizontal="center"/>
    </xf>
    <xf numFmtId="164" fontId="0" fillId="0" borderId="42" xfId="0" applyNumberFormat="1" applyBorder="1" applyAlignment="1">
      <alignment horizontal="center"/>
    </xf>
    <xf numFmtId="164" fontId="0" fillId="0" borderId="1" xfId="0" applyNumberFormat="1" applyBorder="1"/>
    <xf numFmtId="0" fontId="3" fillId="0" borderId="17" xfId="0" applyFont="1" applyBorder="1" applyAlignment="1">
      <alignment horizontal="left" vertical="center" wrapText="1"/>
    </xf>
    <xf numFmtId="0" fontId="0" fillId="0" borderId="17" xfId="0" applyBorder="1"/>
    <xf numFmtId="0" fontId="0" fillId="0" borderId="2" xfId="0" applyBorder="1" applyAlignment="1">
      <alignment horizontal="center"/>
    </xf>
    <xf numFmtId="0" fontId="0" fillId="0" borderId="2" xfId="0" applyBorder="1"/>
    <xf numFmtId="164" fontId="0" fillId="0" borderId="40" xfId="0" applyNumberFormat="1" applyBorder="1"/>
    <xf numFmtId="0" fontId="0" fillId="0" borderId="44" xfId="0" applyBorder="1"/>
    <xf numFmtId="0" fontId="0" fillId="0" borderId="3" xfId="0" applyBorder="1"/>
    <xf numFmtId="0" fontId="8" fillId="0" borderId="0" xfId="0" applyFont="1" applyBorder="1" applyAlignment="1" applyProtection="1">
      <alignment horizontal="center"/>
      <protection hidden="1"/>
    </xf>
    <xf numFmtId="0" fontId="0" fillId="0" borderId="0" xfId="0" applyProtection="1">
      <protection hidden="1"/>
    </xf>
    <xf numFmtId="0" fontId="8" fillId="3" borderId="17" xfId="0" applyFont="1" applyFill="1" applyBorder="1" applyAlignment="1">
      <alignment horizontal="center" vertical="center"/>
    </xf>
    <xf numFmtId="0" fontId="8" fillId="0" borderId="0" xfId="0" applyFont="1" applyFill="1" applyBorder="1" applyAlignment="1">
      <alignment horizontal="center"/>
    </xf>
    <xf numFmtId="0" fontId="8" fillId="4" borderId="17" xfId="0" applyFont="1" applyFill="1" applyBorder="1" applyAlignment="1">
      <alignment horizontal="center"/>
    </xf>
    <xf numFmtId="0" fontId="8" fillId="5" borderId="17" xfId="0" applyFont="1" applyFill="1" applyBorder="1" applyAlignment="1">
      <alignment horizontal="center" vertical="top"/>
    </xf>
    <xf numFmtId="0" fontId="0" fillId="5" borderId="17" xfId="0" applyFill="1" applyBorder="1" applyAlignment="1">
      <alignment vertical="top"/>
    </xf>
    <xf numFmtId="0" fontId="8" fillId="6" borderId="17" xfId="0" applyFont="1" applyFill="1" applyBorder="1" applyAlignment="1">
      <alignment horizontal="center" vertical="top"/>
    </xf>
    <xf numFmtId="0" fontId="8" fillId="7" borderId="17" xfId="0" applyFont="1" applyFill="1" applyBorder="1" applyAlignment="1">
      <alignment horizontal="center" vertical="top"/>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21" fillId="0" borderId="0" xfId="0" applyFont="1" applyAlignment="1" applyProtection="1">
      <alignment horizontal="right"/>
      <protection hidden="1"/>
    </xf>
    <xf numFmtId="0" fontId="0" fillId="0" borderId="0" xfId="0" applyBorder="1" applyProtection="1">
      <protection hidden="1"/>
    </xf>
    <xf numFmtId="0" fontId="0" fillId="0" borderId="0" xfId="0" applyBorder="1" applyAlignment="1" applyProtection="1">
      <alignment horizontal="center"/>
      <protection hidden="1"/>
    </xf>
    <xf numFmtId="0" fontId="8" fillId="3" borderId="17" xfId="0" applyFont="1" applyFill="1" applyBorder="1" applyAlignment="1" applyProtection="1">
      <alignment horizontal="center" vertical="center"/>
      <protection hidden="1"/>
    </xf>
    <xf numFmtId="0" fontId="8" fillId="3" borderId="17" xfId="0" applyFont="1" applyFill="1" applyBorder="1" applyAlignment="1" applyProtection="1">
      <alignment horizontal="center" vertical="center" wrapText="1"/>
      <protection hidden="1"/>
    </xf>
    <xf numFmtId="0" fontId="8" fillId="3" borderId="17" xfId="0" applyFont="1" applyFill="1" applyBorder="1" applyAlignment="1" applyProtection="1">
      <alignment horizontal="center" vertical="center" textRotation="90"/>
      <protection hidden="1"/>
    </xf>
    <xf numFmtId="0" fontId="8" fillId="8" borderId="17" xfId="0" applyFont="1" applyFill="1" applyBorder="1" applyAlignment="1" applyProtection="1">
      <alignment horizontal="center" vertical="center" textRotation="90"/>
      <protection locked="0"/>
    </xf>
    <xf numFmtId="0" fontId="8" fillId="3" borderId="17" xfId="0" applyFont="1" applyFill="1" applyBorder="1" applyAlignment="1" applyProtection="1">
      <alignment horizontal="center" vertical="center" textRotation="90"/>
      <protection locked="0"/>
    </xf>
    <xf numFmtId="0" fontId="0" fillId="0" borderId="0" xfId="0" quotePrefix="1" applyProtection="1">
      <protection hidden="1"/>
    </xf>
    <xf numFmtId="0" fontId="0" fillId="0" borderId="0" xfId="0" quotePrefix="1" applyAlignment="1" applyProtection="1">
      <protection hidden="1"/>
    </xf>
    <xf numFmtId="0" fontId="0" fillId="0" borderId="17" xfId="0" applyBorder="1" applyAlignment="1" applyProtection="1">
      <alignment vertical="top"/>
      <protection locked="0"/>
    </xf>
    <xf numFmtId="0" fontId="0" fillId="0" borderId="17" xfId="0" applyBorder="1" applyAlignment="1" applyProtection="1">
      <alignment vertical="top" wrapText="1"/>
      <protection locked="0"/>
    </xf>
    <xf numFmtId="0" fontId="0" fillId="0" borderId="17" xfId="0" applyBorder="1" applyAlignment="1" applyProtection="1">
      <alignment horizontal="center" vertical="center"/>
      <protection locked="0"/>
    </xf>
    <xf numFmtId="0" fontId="0" fillId="0" borderId="17" xfId="0" applyBorder="1" applyProtection="1">
      <protection locked="0"/>
    </xf>
    <xf numFmtId="0" fontId="0" fillId="0" borderId="0" xfId="0" applyFill="1" applyBorder="1" applyProtection="1">
      <protection hidden="1"/>
    </xf>
    <xf numFmtId="0" fontId="0" fillId="0" borderId="0" xfId="0" applyFill="1" applyBorder="1" applyAlignment="1" applyProtection="1">
      <alignment vertical="center" wrapText="1"/>
      <protection hidden="1"/>
    </xf>
    <xf numFmtId="0" fontId="27" fillId="0" borderId="17" xfId="0" applyFont="1" applyBorder="1" applyProtection="1">
      <protection hidden="1"/>
    </xf>
    <xf numFmtId="0" fontId="28" fillId="0" borderId="13" xfId="0" applyFont="1" applyBorder="1" applyAlignment="1" applyProtection="1">
      <alignment vertical="center"/>
      <protection hidden="1"/>
    </xf>
    <xf numFmtId="0" fontId="29" fillId="0" borderId="18" xfId="0" applyFont="1" applyBorder="1" applyAlignment="1" applyProtection="1">
      <alignment horizontal="left" vertical="center"/>
      <protection hidden="1"/>
    </xf>
    <xf numFmtId="0" fontId="29" fillId="0" borderId="18" xfId="0" applyFont="1" applyBorder="1" applyAlignment="1" applyProtection="1">
      <alignment horizontal="center" vertical="center"/>
      <protection hidden="1"/>
    </xf>
    <xf numFmtId="0" fontId="29" fillId="0" borderId="11" xfId="0" applyFont="1" applyBorder="1" applyAlignment="1" applyProtection="1">
      <alignment horizontal="center" vertical="center"/>
      <protection hidden="1"/>
    </xf>
    <xf numFmtId="0" fontId="30" fillId="0" borderId="0" xfId="0" applyFont="1" applyAlignment="1" applyProtection="1">
      <alignment horizontal="right"/>
      <protection hidden="1"/>
    </xf>
    <xf numFmtId="0" fontId="8" fillId="9" borderId="17" xfId="0" applyFont="1" applyFill="1" applyBorder="1" applyAlignment="1" applyProtection="1">
      <alignment horizontal="center" vertical="center"/>
      <protection hidden="1"/>
    </xf>
    <xf numFmtId="0" fontId="8" fillId="9" borderId="13" xfId="0" applyFont="1" applyFill="1" applyBorder="1" applyAlignment="1" applyProtection="1">
      <alignment horizontal="left" vertical="center" indent="1"/>
      <protection hidden="1"/>
    </xf>
    <xf numFmtId="0" fontId="8" fillId="9" borderId="11" xfId="0" applyFont="1" applyFill="1" applyBorder="1" applyAlignment="1" applyProtection="1">
      <alignment horizontal="center" vertical="center"/>
      <protection hidden="1"/>
    </xf>
    <xf numFmtId="0" fontId="8" fillId="0" borderId="0" xfId="0" applyFont="1" applyProtection="1">
      <protection hidden="1"/>
    </xf>
    <xf numFmtId="0" fontId="8" fillId="5" borderId="17" xfId="0" applyFont="1" applyFill="1" applyBorder="1" applyAlignment="1" applyProtection="1">
      <alignment horizontal="center" vertical="center"/>
      <protection hidden="1"/>
    </xf>
    <xf numFmtId="0" fontId="8" fillId="5" borderId="13" xfId="0" applyFont="1" applyFill="1" applyBorder="1" applyAlignment="1" applyProtection="1">
      <alignment horizontal="left" vertical="center" indent="1"/>
      <protection hidden="1"/>
    </xf>
    <xf numFmtId="0" fontId="8" fillId="5" borderId="11" xfId="0" applyFont="1" applyFill="1" applyBorder="1" applyAlignment="1" applyProtection="1">
      <alignment horizontal="center" vertical="center"/>
      <protection hidden="1"/>
    </xf>
    <xf numFmtId="0" fontId="8" fillId="10" borderId="17" xfId="0" applyFont="1" applyFill="1" applyBorder="1" applyAlignment="1" applyProtection="1">
      <alignment horizontal="center" vertical="center"/>
      <protection hidden="1"/>
    </xf>
    <xf numFmtId="0" fontId="8" fillId="10" borderId="13" xfId="0" applyFont="1" applyFill="1" applyBorder="1" applyAlignment="1" applyProtection="1">
      <alignment horizontal="left" vertical="center" indent="1"/>
      <protection hidden="1"/>
    </xf>
    <xf numFmtId="0" fontId="8" fillId="10" borderId="11" xfId="0" applyFont="1" applyFill="1" applyBorder="1" applyAlignment="1" applyProtection="1">
      <alignment horizontal="center" vertical="center"/>
      <protection hidden="1"/>
    </xf>
    <xf numFmtId="0" fontId="2" fillId="8" borderId="17" xfId="0" applyFont="1" applyFill="1" applyBorder="1" applyAlignment="1" applyProtection="1">
      <alignment horizontal="center" vertical="center"/>
      <protection hidden="1"/>
    </xf>
    <xf numFmtId="0" fontId="2" fillId="8" borderId="13" xfId="0" applyFont="1" applyFill="1" applyBorder="1" applyAlignment="1" applyProtection="1">
      <alignment vertical="center"/>
      <protection hidden="1"/>
    </xf>
    <xf numFmtId="0" fontId="2" fillId="8" borderId="11" xfId="0" applyFont="1" applyFill="1" applyBorder="1" applyAlignment="1" applyProtection="1">
      <alignment horizontal="center" vertical="center"/>
      <protection hidden="1"/>
    </xf>
    <xf numFmtId="0" fontId="8" fillId="3" borderId="17" xfId="0" applyFont="1" applyFill="1" applyBorder="1"/>
    <xf numFmtId="0" fontId="0" fillId="0" borderId="17" xfId="0" applyBorder="1" applyAlignment="1">
      <alignment horizontal="center"/>
    </xf>
    <xf numFmtId="0" fontId="0" fillId="3" borderId="17" xfId="0" applyFill="1" applyBorder="1" applyAlignment="1">
      <alignment horizontal="center"/>
    </xf>
    <xf numFmtId="0" fontId="8" fillId="5" borderId="17" xfId="0" applyFont="1" applyFill="1" applyBorder="1"/>
    <xf numFmtId="0" fontId="0" fillId="5" borderId="17" xfId="0" applyFill="1" applyBorder="1" applyAlignment="1">
      <alignment horizontal="center"/>
    </xf>
    <xf numFmtId="0" fontId="0" fillId="0" borderId="45" xfId="0" applyBorder="1" applyProtection="1">
      <protection hidden="1"/>
    </xf>
    <xf numFmtId="0" fontId="21" fillId="0" borderId="46" xfId="0" applyFont="1" applyBorder="1" applyAlignment="1" applyProtection="1">
      <alignment horizontal="right"/>
      <protection hidden="1"/>
    </xf>
    <xf numFmtId="0" fontId="8" fillId="3" borderId="24" xfId="0" applyFont="1" applyFill="1" applyBorder="1" applyAlignment="1" applyProtection="1">
      <alignment horizontal="center" vertical="center"/>
      <protection hidden="1"/>
    </xf>
    <xf numFmtId="0" fontId="8" fillId="3" borderId="41" xfId="0" applyFont="1" applyFill="1" applyBorder="1" applyAlignment="1" applyProtection="1">
      <alignment horizontal="center" vertical="center" wrapText="1"/>
      <protection hidden="1"/>
    </xf>
    <xf numFmtId="0" fontId="8" fillId="3" borderId="22" xfId="0" applyFont="1" applyFill="1" applyBorder="1" applyAlignment="1" applyProtection="1">
      <alignment horizontal="center" vertical="center" textRotation="90"/>
      <protection hidden="1"/>
    </xf>
    <xf numFmtId="0" fontId="8" fillId="8" borderId="20" xfId="0" applyFont="1" applyFill="1" applyBorder="1" applyAlignment="1" applyProtection="1">
      <alignment horizontal="center" vertical="center" textRotation="90"/>
      <protection locked="0"/>
    </xf>
    <xf numFmtId="0" fontId="8" fillId="3" borderId="27" xfId="0" applyFont="1" applyFill="1" applyBorder="1" applyAlignment="1" applyProtection="1">
      <alignment horizontal="center" vertical="center" textRotation="90"/>
      <protection locked="0"/>
    </xf>
    <xf numFmtId="0" fontId="8" fillId="3" borderId="41" xfId="0" applyFont="1" applyFill="1" applyBorder="1" applyAlignment="1" applyProtection="1">
      <alignment horizontal="center" vertical="center" textRotation="90"/>
      <protection locked="0"/>
    </xf>
    <xf numFmtId="0" fontId="8" fillId="3" borderId="15" xfId="0" applyFont="1" applyFill="1" applyBorder="1" applyAlignment="1" applyProtection="1">
      <alignment horizontal="center" vertical="center" textRotation="90"/>
      <protection locked="0"/>
    </xf>
    <xf numFmtId="0" fontId="8" fillId="3" borderId="20" xfId="0" applyFont="1" applyFill="1" applyBorder="1" applyAlignment="1" applyProtection="1">
      <alignment horizontal="center" vertical="center"/>
      <protection hidden="1"/>
    </xf>
    <xf numFmtId="0" fontId="0" fillId="0" borderId="1" xfId="0" applyBorder="1" applyAlignment="1" applyProtection="1">
      <alignment vertical="top"/>
      <protection locked="0"/>
    </xf>
    <xf numFmtId="0" fontId="0" fillId="0" borderId="2"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8" xfId="0" applyBorder="1" applyProtection="1">
      <protection locked="0"/>
    </xf>
    <xf numFmtId="0" fontId="0" fillId="0" borderId="6" xfId="0" applyBorder="1" applyAlignment="1" applyProtection="1">
      <alignment vertical="top"/>
      <protection locked="0"/>
    </xf>
    <xf numFmtId="0" fontId="0" fillId="0" borderId="47" xfId="0" applyBorder="1" applyAlignment="1" applyProtection="1">
      <alignment vertical="top" wrapText="1"/>
      <protection locked="0"/>
    </xf>
    <xf numFmtId="0" fontId="0" fillId="0" borderId="32"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2" xfId="0" applyBorder="1" applyProtection="1">
      <protection locked="0"/>
    </xf>
    <xf numFmtId="0" fontId="27" fillId="0" borderId="39" xfId="0" applyFont="1" applyBorder="1" applyProtection="1">
      <protection hidden="1"/>
    </xf>
    <xf numFmtId="0" fontId="29" fillId="0" borderId="4" xfId="0" applyFont="1" applyBorder="1" applyAlignment="1" applyProtection="1">
      <alignment horizontal="left" vertical="center"/>
      <protection hidden="1"/>
    </xf>
    <xf numFmtId="0" fontId="29" fillId="0" borderId="4" xfId="0" applyFont="1" applyBorder="1" applyAlignment="1" applyProtection="1">
      <alignment horizontal="center" vertical="center"/>
      <protection hidden="1"/>
    </xf>
    <xf numFmtId="0" fontId="29" fillId="0" borderId="5" xfId="0" applyFont="1" applyBorder="1" applyAlignment="1" applyProtection="1">
      <alignment horizontal="center" vertical="center"/>
      <protection hidden="1"/>
    </xf>
    <xf numFmtId="0" fontId="0" fillId="0" borderId="48" xfId="0" applyBorder="1" applyProtection="1">
      <protection hidden="1"/>
    </xf>
    <xf numFmtId="0" fontId="8" fillId="9" borderId="1" xfId="0" applyFont="1" applyFill="1" applyBorder="1" applyAlignment="1" applyProtection="1">
      <alignment horizontal="center" vertical="center"/>
      <protection hidden="1"/>
    </xf>
    <xf numFmtId="0" fontId="8" fillId="9" borderId="2" xfId="0" applyFont="1" applyFill="1" applyBorder="1" applyAlignment="1" applyProtection="1">
      <alignment horizontal="center" vertical="center"/>
      <protection hidden="1"/>
    </xf>
    <xf numFmtId="0" fontId="31" fillId="0" borderId="45" xfId="0" applyFont="1" applyBorder="1" applyAlignment="1" applyProtection="1">
      <alignment horizontal="right"/>
      <protection hidden="1"/>
    </xf>
    <xf numFmtId="0" fontId="8" fillId="5" borderId="1" xfId="0" applyFont="1" applyFill="1" applyBorder="1" applyAlignment="1" applyProtection="1">
      <alignment horizontal="center" vertical="center"/>
      <protection hidden="1"/>
    </xf>
    <xf numFmtId="0" fontId="8" fillId="5" borderId="2" xfId="0" applyFont="1" applyFill="1" applyBorder="1" applyAlignment="1" applyProtection="1">
      <alignment horizontal="center" vertical="center"/>
      <protection hidden="1"/>
    </xf>
    <xf numFmtId="0" fontId="8" fillId="0" borderId="45" xfId="0" applyFont="1" applyBorder="1" applyProtection="1">
      <protection hidden="1"/>
    </xf>
    <xf numFmtId="0" fontId="8" fillId="10" borderId="1" xfId="0" applyFont="1" applyFill="1" applyBorder="1" applyAlignment="1" applyProtection="1">
      <alignment horizontal="center" vertical="center"/>
      <protection hidden="1"/>
    </xf>
    <xf numFmtId="0" fontId="8" fillId="10" borderId="2" xfId="0" applyFont="1" applyFill="1" applyBorder="1" applyAlignment="1" applyProtection="1">
      <alignment horizontal="center" vertical="center"/>
      <protection hidden="1"/>
    </xf>
    <xf numFmtId="0" fontId="2" fillId="8" borderId="40" xfId="0" applyFont="1" applyFill="1" applyBorder="1" applyAlignment="1" applyProtection="1">
      <alignment horizontal="center" vertical="center"/>
      <protection hidden="1"/>
    </xf>
    <xf numFmtId="0" fontId="2" fillId="8" borderId="49" xfId="0" applyFont="1" applyFill="1" applyBorder="1" applyAlignment="1" applyProtection="1">
      <alignment vertical="center"/>
      <protection hidden="1"/>
    </xf>
    <xf numFmtId="0" fontId="2" fillId="8" borderId="50" xfId="0" applyFont="1" applyFill="1" applyBorder="1" applyAlignment="1" applyProtection="1">
      <alignment horizontal="center" vertical="center"/>
      <protection hidden="1"/>
    </xf>
    <xf numFmtId="0" fontId="2" fillId="8" borderId="44" xfId="0" applyFont="1" applyFill="1" applyBorder="1" applyAlignment="1" applyProtection="1">
      <alignment horizontal="center" vertical="center"/>
      <protection hidden="1"/>
    </xf>
    <xf numFmtId="0" fontId="2" fillId="8" borderId="3" xfId="0" applyFont="1" applyFill="1" applyBorder="1" applyAlignment="1" applyProtection="1">
      <alignment horizontal="center" vertical="center"/>
      <protection hidden="1"/>
    </xf>
    <xf numFmtId="0" fontId="30" fillId="0" borderId="0" xfId="0" applyFont="1" applyAlignment="1" applyProtection="1">
      <alignment horizontal="left"/>
      <protection hidden="1"/>
    </xf>
    <xf numFmtId="0" fontId="31" fillId="0" borderId="0" xfId="0" applyFont="1" applyAlignment="1" applyProtection="1">
      <alignment horizontal="right"/>
      <protection hidden="1"/>
    </xf>
    <xf numFmtId="0" fontId="0" fillId="5" borderId="11" xfId="0" applyFill="1" applyBorder="1" applyAlignment="1"/>
    <xf numFmtId="0" fontId="0" fillId="5" borderId="17" xfId="0" applyFill="1" applyBorder="1"/>
    <xf numFmtId="0" fontId="0" fillId="5" borderId="13" xfId="0" applyFill="1" applyBorder="1" applyProtection="1">
      <protection hidden="1"/>
    </xf>
    <xf numFmtId="0" fontId="0" fillId="5" borderId="18" xfId="0" applyFill="1" applyBorder="1" applyAlignment="1">
      <alignment horizontal="center"/>
    </xf>
    <xf numFmtId="0" fontId="11" fillId="0" borderId="0" xfId="0" applyFont="1" applyBorder="1" applyAlignment="1">
      <alignment vertical="center" wrapText="1"/>
    </xf>
    <xf numFmtId="0" fontId="11" fillId="0" borderId="0" xfId="0" applyFont="1"/>
    <xf numFmtId="0" fontId="25" fillId="0" borderId="0" xfId="0" applyFont="1" applyFill="1" applyBorder="1" applyAlignment="1">
      <alignment vertical="top"/>
    </xf>
    <xf numFmtId="0" fontId="0" fillId="0" borderId="14" xfId="0" applyBorder="1"/>
    <xf numFmtId="0" fontId="0" fillId="0" borderId="12" xfId="0" applyBorder="1"/>
    <xf numFmtId="0" fontId="0" fillId="0" borderId="51" xfId="0" applyBorder="1"/>
    <xf numFmtId="0" fontId="0" fillId="0" borderId="52" xfId="0" applyBorder="1"/>
    <xf numFmtId="0" fontId="0" fillId="0" borderId="7" xfId="0" applyBorder="1"/>
    <xf numFmtId="0" fontId="0" fillId="0" borderId="9" xfId="0" applyBorder="1"/>
    <xf numFmtId="0" fontId="10" fillId="3" borderId="13" xfId="0" applyFont="1" applyFill="1" applyBorder="1" applyAlignment="1"/>
    <xf numFmtId="16" fontId="18" fillId="2" borderId="17" xfId="0" applyNumberFormat="1" applyFont="1" applyFill="1" applyBorder="1" applyAlignment="1"/>
    <xf numFmtId="0" fontId="16" fillId="0" borderId="0" xfId="0" applyFont="1" applyAlignment="1">
      <alignment horizontal="left" indent="3"/>
    </xf>
    <xf numFmtId="0" fontId="11" fillId="0" borderId="0" xfId="0" applyFont="1" applyAlignment="1" applyProtection="1">
      <alignment horizontal="center" vertical="center"/>
      <protection hidden="1"/>
    </xf>
    <xf numFmtId="0" fontId="18" fillId="0" borderId="0" xfId="0" applyFont="1" applyBorder="1" applyAlignment="1">
      <alignment wrapText="1"/>
    </xf>
    <xf numFmtId="0" fontId="10" fillId="0" borderId="0" xfId="0" applyFont="1" applyBorder="1" applyAlignment="1"/>
    <xf numFmtId="2" fontId="10" fillId="0" borderId="0" xfId="0" applyNumberFormat="1" applyFont="1" applyBorder="1" applyAlignment="1"/>
    <xf numFmtId="0" fontId="0" fillId="5" borderId="14" xfId="0" applyFill="1" applyBorder="1" applyAlignment="1"/>
    <xf numFmtId="0" fontId="0" fillId="5" borderId="53" xfId="0" applyFill="1" applyBorder="1" applyAlignment="1"/>
    <xf numFmtId="0" fontId="0" fillId="5" borderId="12" xfId="0" applyFill="1" applyBorder="1" applyAlignment="1"/>
    <xf numFmtId="0" fontId="0" fillId="5" borderId="51" xfId="0" applyFill="1" applyBorder="1" applyAlignment="1"/>
    <xf numFmtId="0" fontId="0" fillId="5" borderId="0" xfId="0" applyFill="1" applyBorder="1" applyAlignment="1"/>
    <xf numFmtId="0" fontId="0" fillId="5" borderId="52" xfId="0" applyFill="1" applyBorder="1" applyAlignment="1"/>
    <xf numFmtId="0" fontId="0" fillId="5" borderId="7" xfId="0" applyFill="1" applyBorder="1" applyAlignment="1"/>
    <xf numFmtId="0" fontId="0" fillId="5" borderId="8" xfId="0" applyFill="1" applyBorder="1" applyAlignment="1"/>
    <xf numFmtId="0" fontId="0" fillId="5" borderId="9" xfId="0" applyFill="1" applyBorder="1" applyAlignment="1"/>
    <xf numFmtId="0" fontId="0" fillId="5" borderId="47" xfId="0" applyFill="1" applyBorder="1" applyAlignment="1">
      <alignment vertical="top"/>
    </xf>
    <xf numFmtId="0" fontId="0" fillId="5" borderId="43" xfId="0" applyFill="1" applyBorder="1" applyAlignment="1">
      <alignment vertical="top"/>
    </xf>
    <xf numFmtId="0" fontId="0" fillId="5" borderId="19" xfId="0" applyFill="1" applyBorder="1" applyAlignment="1">
      <alignment vertical="top"/>
    </xf>
    <xf numFmtId="0" fontId="11" fillId="0" borderId="0" xfId="0" applyFont="1" applyAlignment="1"/>
    <xf numFmtId="0" fontId="8" fillId="0" borderId="8" xfId="0" applyFont="1" applyBorder="1" applyAlignment="1" applyProtection="1">
      <protection hidden="1"/>
    </xf>
    <xf numFmtId="0" fontId="11" fillId="0" borderId="8" xfId="0" applyFont="1" applyBorder="1" applyAlignment="1" applyProtection="1">
      <protection hidden="1"/>
    </xf>
    <xf numFmtId="0" fontId="8" fillId="0" borderId="0" xfId="0" applyFont="1" applyBorder="1" applyAlignment="1" applyProtection="1">
      <protection hidden="1"/>
    </xf>
    <xf numFmtId="0" fontId="11" fillId="0" borderId="0" xfId="0" applyFont="1" applyBorder="1" applyAlignment="1" applyProtection="1">
      <alignment horizontal="left" indent="15"/>
      <protection hidden="1"/>
    </xf>
    <xf numFmtId="0" fontId="0" fillId="0" borderId="54"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1" fillId="0" borderId="0" xfId="0" applyFont="1" applyProtection="1">
      <protection hidden="1"/>
    </xf>
    <xf numFmtId="0" fontId="1"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0" fillId="0" borderId="0" xfId="0" applyFont="1" applyProtection="1">
      <protection hidden="1"/>
    </xf>
    <xf numFmtId="0" fontId="18" fillId="0" borderId="0" xfId="0" applyFont="1" applyAlignment="1" applyProtection="1">
      <alignment vertical="center"/>
      <protection hidden="1"/>
    </xf>
    <xf numFmtId="0" fontId="18" fillId="0" borderId="0" xfId="0" applyFont="1" applyFill="1" applyBorder="1" applyAlignment="1" applyProtection="1">
      <alignment horizontal="center"/>
      <protection hidden="1"/>
    </xf>
    <xf numFmtId="0" fontId="33" fillId="0" borderId="0" xfId="0" applyFont="1" applyAlignment="1" applyProtection="1">
      <alignment horizontal="right"/>
      <protection hidden="1"/>
    </xf>
    <xf numFmtId="0" fontId="34" fillId="0" borderId="0" xfId="0" applyFont="1" applyProtection="1">
      <protection hidden="1"/>
    </xf>
    <xf numFmtId="0" fontId="10" fillId="3" borderId="17" xfId="0" applyFont="1" applyFill="1" applyBorder="1" applyAlignment="1" applyProtection="1">
      <alignment horizontal="center" vertical="center"/>
      <protection hidden="1"/>
    </xf>
    <xf numFmtId="0" fontId="10" fillId="3" borderId="17" xfId="0" applyFont="1" applyFill="1" applyBorder="1" applyAlignment="1" applyProtection="1">
      <alignment horizontal="center" vertical="center" wrapText="1"/>
      <protection hidden="1"/>
    </xf>
    <xf numFmtId="0" fontId="10" fillId="3" borderId="17" xfId="0" applyFont="1" applyFill="1" applyBorder="1" applyAlignment="1" applyProtection="1">
      <alignment horizontal="center" vertical="center" textRotation="90"/>
      <protection hidden="1"/>
    </xf>
    <xf numFmtId="0" fontId="10" fillId="8" borderId="17" xfId="0" applyFont="1" applyFill="1" applyBorder="1" applyAlignment="1" applyProtection="1">
      <alignment horizontal="center" vertical="center" textRotation="90"/>
      <protection locked="0"/>
    </xf>
    <xf numFmtId="0" fontId="10" fillId="3" borderId="17" xfId="0" applyFont="1" applyFill="1" applyBorder="1" applyAlignment="1" applyProtection="1">
      <alignment horizontal="center" vertical="center" textRotation="90"/>
      <protection locked="0"/>
    </xf>
    <xf numFmtId="0" fontId="18" fillId="0" borderId="0" xfId="0" quotePrefix="1" applyFont="1" applyProtection="1">
      <protection hidden="1"/>
    </xf>
    <xf numFmtId="0" fontId="18" fillId="0" borderId="0" xfId="0" quotePrefix="1" applyFont="1" applyAlignment="1" applyProtection="1">
      <protection hidden="1"/>
    </xf>
    <xf numFmtId="0" fontId="18" fillId="0" borderId="17" xfId="0" applyFont="1" applyBorder="1" applyAlignment="1" applyProtection="1">
      <alignment vertical="top"/>
      <protection locked="0"/>
    </xf>
    <xf numFmtId="0" fontId="18" fillId="0" borderId="17" xfId="0" applyFont="1" applyBorder="1" applyAlignment="1" applyProtection="1">
      <alignment vertical="top" wrapText="1"/>
      <protection locked="0"/>
    </xf>
    <xf numFmtId="0" fontId="18" fillId="0" borderId="17" xfId="0" applyFont="1" applyBorder="1" applyAlignment="1" applyProtection="1">
      <alignment horizontal="center" vertical="center"/>
      <protection locked="0"/>
    </xf>
    <xf numFmtId="0" fontId="18" fillId="0" borderId="17" xfId="0" applyFont="1" applyBorder="1" applyProtection="1">
      <protection locked="0"/>
    </xf>
    <xf numFmtId="0" fontId="18" fillId="0" borderId="0" xfId="0" applyFont="1" applyFill="1" applyBorder="1" applyProtection="1">
      <protection hidden="1"/>
    </xf>
    <xf numFmtId="0" fontId="18" fillId="0" borderId="0" xfId="0" applyFont="1" applyFill="1" applyBorder="1" applyAlignment="1" applyProtection="1">
      <alignment vertical="center" wrapText="1"/>
      <protection hidden="1"/>
    </xf>
    <xf numFmtId="0" fontId="35" fillId="0" borderId="0" xfId="0" applyFont="1" applyAlignment="1" applyProtection="1">
      <alignment horizontal="right"/>
      <protection hidden="1"/>
    </xf>
    <xf numFmtId="0" fontId="36" fillId="0" borderId="0" xfId="0" applyFont="1" applyProtection="1">
      <protection hidden="1"/>
    </xf>
    <xf numFmtId="0" fontId="10" fillId="9" borderId="17" xfId="0" applyFont="1" applyFill="1" applyBorder="1" applyAlignment="1" applyProtection="1">
      <alignment horizontal="center" vertical="center"/>
      <protection hidden="1"/>
    </xf>
    <xf numFmtId="0" fontId="10" fillId="9" borderId="13" xfId="0" applyFont="1" applyFill="1" applyBorder="1" applyAlignment="1" applyProtection="1">
      <alignment horizontal="left" vertical="center" indent="1"/>
      <protection hidden="1"/>
    </xf>
    <xf numFmtId="0" fontId="10" fillId="9" borderId="11" xfId="0" applyFont="1" applyFill="1" applyBorder="1" applyAlignment="1" applyProtection="1">
      <alignment horizontal="center" vertical="center"/>
      <protection hidden="1"/>
    </xf>
    <xf numFmtId="0" fontId="10" fillId="5" borderId="17" xfId="0" applyFont="1" applyFill="1" applyBorder="1" applyAlignment="1" applyProtection="1">
      <alignment horizontal="center" vertical="center"/>
      <protection hidden="1"/>
    </xf>
    <xf numFmtId="0" fontId="10" fillId="5" borderId="13" xfId="0" applyFont="1" applyFill="1" applyBorder="1" applyAlignment="1" applyProtection="1">
      <alignment horizontal="left" vertical="center" indent="1"/>
      <protection hidden="1"/>
    </xf>
    <xf numFmtId="0" fontId="10" fillId="5" borderId="11" xfId="0" applyFont="1" applyFill="1" applyBorder="1" applyAlignment="1" applyProtection="1">
      <alignment horizontal="center" vertical="center"/>
      <protection hidden="1"/>
    </xf>
    <xf numFmtId="0" fontId="10" fillId="10" borderId="17" xfId="0" applyFont="1" applyFill="1" applyBorder="1" applyAlignment="1" applyProtection="1">
      <alignment horizontal="center" vertical="center"/>
      <protection hidden="1"/>
    </xf>
    <xf numFmtId="0" fontId="10" fillId="10" borderId="13" xfId="0" applyFont="1" applyFill="1" applyBorder="1" applyAlignment="1" applyProtection="1">
      <alignment horizontal="left" vertical="center" indent="1"/>
      <protection hidden="1"/>
    </xf>
    <xf numFmtId="0" fontId="10" fillId="10" borderId="11" xfId="0" applyFont="1" applyFill="1" applyBorder="1" applyAlignment="1" applyProtection="1">
      <alignment horizontal="center" vertical="center"/>
      <protection hidden="1"/>
    </xf>
    <xf numFmtId="0" fontId="14" fillId="8" borderId="17" xfId="0" applyFont="1" applyFill="1" applyBorder="1" applyAlignment="1" applyProtection="1">
      <alignment horizontal="center" vertical="center"/>
      <protection hidden="1"/>
    </xf>
    <xf numFmtId="0" fontId="14" fillId="8" borderId="13" xfId="0" applyFont="1" applyFill="1" applyBorder="1" applyAlignment="1" applyProtection="1">
      <alignment vertical="center"/>
      <protection hidden="1"/>
    </xf>
    <xf numFmtId="0" fontId="14" fillId="8" borderId="11" xfId="0" applyFont="1" applyFill="1" applyBorder="1" applyAlignment="1" applyProtection="1">
      <alignment horizontal="center" vertical="center"/>
      <protection hidden="1"/>
    </xf>
    <xf numFmtId="15" fontId="0" fillId="0" borderId="17" xfId="0" quotePrefix="1" applyNumberFormat="1" applyBorder="1" applyAlignment="1">
      <alignment horizontal="center" vertical="top" wrapText="1"/>
    </xf>
    <xf numFmtId="0" fontId="0" fillId="0" borderId="17" xfId="0" applyBorder="1" applyAlignment="1">
      <alignment horizontal="center" vertical="top" wrapText="1"/>
    </xf>
    <xf numFmtId="0" fontId="3" fillId="0" borderId="17" xfId="0" applyFont="1" applyBorder="1" applyAlignment="1" applyProtection="1">
      <alignment horizontal="left" vertical="top" wrapText="1"/>
      <protection locked="0"/>
    </xf>
    <xf numFmtId="0" fontId="37" fillId="0" borderId="17" xfId="0" applyFont="1" applyBorder="1" applyAlignment="1" applyProtection="1">
      <alignment horizontal="center" vertical="top" wrapText="1"/>
      <protection locked="0"/>
    </xf>
    <xf numFmtId="0" fontId="0" fillId="0" borderId="17" xfId="0" applyBorder="1" applyAlignment="1" applyProtection="1">
      <alignment horizontal="left" vertical="top" wrapText="1"/>
      <protection locked="0"/>
    </xf>
    <xf numFmtId="0" fontId="8" fillId="3" borderId="17" xfId="0" applyFont="1" applyFill="1" applyBorder="1" applyAlignment="1">
      <alignment vertical="top"/>
    </xf>
    <xf numFmtId="15" fontId="3" fillId="0" borderId="17" xfId="0" applyNumberFormat="1" applyFont="1" applyBorder="1" applyAlignment="1">
      <alignment horizontal="center" vertical="top" wrapText="1"/>
    </xf>
    <xf numFmtId="0" fontId="3" fillId="0" borderId="2" xfId="0" applyFont="1" applyBorder="1" applyAlignment="1">
      <alignment horizontal="left" wrapText="1"/>
    </xf>
    <xf numFmtId="0" fontId="3" fillId="0" borderId="2" xfId="0" quotePrefix="1" applyNumberFormat="1" applyFont="1" applyBorder="1" applyAlignment="1">
      <alignment horizontal="left" vertical="center" wrapText="1"/>
    </xf>
    <xf numFmtId="0" fontId="4" fillId="0" borderId="1" xfId="0" quotePrefix="1" applyFont="1" applyBorder="1" applyAlignment="1">
      <alignment horizontal="left" vertical="center" wrapText="1"/>
    </xf>
    <xf numFmtId="0" fontId="3" fillId="0" borderId="2" xfId="0" applyNumberFormat="1" applyFont="1" applyBorder="1" applyAlignment="1">
      <alignment horizontal="left" vertical="center" wrapText="1"/>
    </xf>
    <xf numFmtId="0" fontId="8" fillId="2" borderId="17" xfId="0" applyFont="1" applyFill="1" applyBorder="1" applyAlignment="1">
      <alignment horizontal="center" wrapText="1"/>
    </xf>
    <xf numFmtId="0" fontId="3" fillId="2" borderId="17" xfId="0" applyFont="1" applyFill="1" applyBorder="1" applyAlignment="1">
      <alignment horizontal="center" wrapText="1"/>
    </xf>
    <xf numFmtId="0" fontId="3" fillId="0" borderId="19" xfId="0" applyFont="1" applyBorder="1" applyAlignment="1">
      <alignment horizontal="center"/>
    </xf>
    <xf numFmtId="0" fontId="3" fillId="0" borderId="17" xfId="0" applyFont="1" applyBorder="1" applyAlignment="1" applyProtection="1">
      <alignment vertical="top" wrapText="1"/>
      <protection locked="0"/>
    </xf>
    <xf numFmtId="15" fontId="0" fillId="0" borderId="17" xfId="0" quotePrefix="1" applyNumberFormat="1" applyBorder="1"/>
    <xf numFmtId="0" fontId="1" fillId="0" borderId="43" xfId="0" applyFont="1" applyBorder="1" applyAlignment="1">
      <alignment horizontal="center" vertical="center" wrapText="1"/>
    </xf>
    <xf numFmtId="165" fontId="1" fillId="0" borderId="38" xfId="0" quotePrefix="1" applyNumberFormat="1" applyFont="1" applyBorder="1" applyAlignment="1">
      <alignment horizontal="center" vertical="center"/>
    </xf>
    <xf numFmtId="0" fontId="1" fillId="0" borderId="17" xfId="0" applyFont="1" applyFill="1" applyBorder="1" applyAlignment="1" applyProtection="1">
      <alignment horizontal="left" vertical="top" wrapText="1"/>
      <protection locked="0"/>
    </xf>
    <xf numFmtId="0" fontId="3" fillId="0" borderId="17" xfId="0" applyFont="1" applyBorder="1" applyAlignment="1">
      <alignment horizontal="left" vertical="top" wrapText="1"/>
    </xf>
    <xf numFmtId="0" fontId="0" fillId="0" borderId="17" xfId="0" applyBorder="1" applyAlignment="1">
      <alignment horizontal="left" vertical="top" wrapText="1"/>
    </xf>
    <xf numFmtId="0" fontId="0" fillId="0" borderId="13"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8" fillId="3" borderId="13" xfId="0" applyFont="1" applyFill="1" applyBorder="1" applyAlignment="1">
      <alignment horizontal="center" vertical="top" wrapText="1"/>
    </xf>
    <xf numFmtId="0" fontId="8" fillId="3" borderId="11" xfId="0" applyFont="1" applyFill="1" applyBorder="1" applyAlignment="1">
      <alignment horizontal="center" vertical="top" wrapText="1"/>
    </xf>
    <xf numFmtId="0" fontId="8" fillId="3" borderId="17" xfId="0" applyFont="1" applyFill="1" applyBorder="1" applyAlignment="1">
      <alignment horizontal="center" vertical="top" wrapText="1"/>
    </xf>
    <xf numFmtId="0" fontId="8" fillId="3" borderId="2" xfId="0" applyFont="1" applyFill="1" applyBorder="1" applyAlignment="1">
      <alignment horizontal="center" vertical="top" wrapText="1"/>
    </xf>
    <xf numFmtId="0" fontId="11" fillId="0" borderId="0" xfId="0" applyFont="1" applyBorder="1" applyAlignment="1">
      <alignment horizontal="center" vertical="center" wrapText="1"/>
    </xf>
    <xf numFmtId="0" fontId="2" fillId="3" borderId="13" xfId="0" applyFont="1" applyFill="1" applyBorder="1" applyAlignment="1">
      <alignment horizontal="center" vertical="top" wrapText="1"/>
    </xf>
    <xf numFmtId="0" fontId="2" fillId="3" borderId="18" xfId="0" applyFont="1" applyFill="1" applyBorder="1" applyAlignment="1">
      <alignment horizontal="center" vertical="top" wrapText="1"/>
    </xf>
    <xf numFmtId="0" fontId="2" fillId="3" borderId="11" xfId="0" applyFont="1" applyFill="1" applyBorder="1" applyAlignment="1">
      <alignment horizontal="center" vertical="top" wrapText="1"/>
    </xf>
    <xf numFmtId="0" fontId="2" fillId="3" borderId="13" xfId="0" applyFont="1" applyFill="1" applyBorder="1" applyAlignment="1">
      <alignment horizontal="left" vertical="top" wrapText="1"/>
    </xf>
    <xf numFmtId="0" fontId="2" fillId="3" borderId="18" xfId="0" applyFont="1" applyFill="1" applyBorder="1" applyAlignment="1">
      <alignment horizontal="left" vertical="top" wrapText="1"/>
    </xf>
    <xf numFmtId="0" fontId="2" fillId="3" borderId="11" xfId="0" applyFont="1" applyFill="1" applyBorder="1" applyAlignment="1">
      <alignment horizontal="left" vertical="top" wrapText="1"/>
    </xf>
    <xf numFmtId="14" fontId="5" fillId="2" borderId="17" xfId="0" applyNumberFormat="1" applyFont="1" applyFill="1" applyBorder="1" applyAlignment="1">
      <alignment horizontal="center" vertical="top" wrapText="1"/>
    </xf>
    <xf numFmtId="0" fontId="4" fillId="2" borderId="0" xfId="0" applyFont="1" applyFill="1" applyBorder="1" applyAlignment="1">
      <alignment horizontal="center"/>
    </xf>
    <xf numFmtId="0" fontId="2" fillId="3" borderId="21" xfId="0" applyFont="1" applyFill="1" applyBorder="1" applyAlignment="1">
      <alignment horizontal="center"/>
    </xf>
    <xf numFmtId="0" fontId="2" fillId="3" borderId="25" xfId="0" applyFont="1" applyFill="1" applyBorder="1" applyAlignment="1">
      <alignment horizontal="center"/>
    </xf>
    <xf numFmtId="0" fontId="2" fillId="3" borderId="34" xfId="0" applyFont="1" applyFill="1" applyBorder="1" applyAlignment="1">
      <alignment horizontal="center"/>
    </xf>
    <xf numFmtId="0" fontId="2" fillId="2" borderId="21" xfId="0" applyFont="1" applyFill="1" applyBorder="1" applyAlignment="1">
      <alignment horizontal="center"/>
    </xf>
    <xf numFmtId="0" fontId="2" fillId="2" borderId="25" xfId="0" applyFont="1" applyFill="1"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2" fillId="3" borderId="13" xfId="0" applyFont="1" applyFill="1" applyBorder="1" applyAlignment="1">
      <alignment horizontal="center"/>
    </xf>
    <xf numFmtId="0" fontId="2" fillId="3" borderId="18" xfId="0" applyFont="1" applyFill="1" applyBorder="1" applyAlignment="1">
      <alignment horizontal="center"/>
    </xf>
    <xf numFmtId="0" fontId="2" fillId="3" borderId="11" xfId="0" applyFont="1" applyFill="1" applyBorder="1" applyAlignment="1">
      <alignment horizontal="center"/>
    </xf>
    <xf numFmtId="16" fontId="4" fillId="2" borderId="17" xfId="0" applyNumberFormat="1" applyFont="1" applyFill="1" applyBorder="1" applyAlignment="1">
      <alignment horizontal="center"/>
    </xf>
    <xf numFmtId="49" fontId="4" fillId="2" borderId="17" xfId="0" applyNumberFormat="1" applyFont="1" applyFill="1" applyBorder="1" applyAlignment="1">
      <alignment horizontal="center"/>
    </xf>
    <xf numFmtId="0" fontId="4" fillId="0" borderId="1" xfId="0" applyFont="1" applyBorder="1" applyAlignment="1">
      <alignment horizontal="center"/>
    </xf>
    <xf numFmtId="0" fontId="4" fillId="0" borderId="17" xfId="0" applyFont="1" applyBorder="1" applyAlignment="1">
      <alignment horizontal="center"/>
    </xf>
    <xf numFmtId="1" fontId="4" fillId="0" borderId="17" xfId="0" applyNumberFormat="1" applyFont="1" applyBorder="1" applyAlignment="1">
      <alignment horizontal="center" vertical="center" wrapText="1"/>
    </xf>
    <xf numFmtId="1" fontId="0" fillId="0" borderId="17" xfId="0" applyNumberFormat="1" applyBorder="1" applyAlignment="1">
      <alignment horizontal="center" wrapText="1"/>
    </xf>
    <xf numFmtId="0" fontId="2" fillId="2" borderId="48" xfId="0" applyFont="1" applyFill="1" applyBorder="1" applyAlignment="1">
      <alignment horizontal="center" vertical="center"/>
    </xf>
    <xf numFmtId="0" fontId="2" fillId="0" borderId="59"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2" borderId="60" xfId="0" applyFont="1" applyFill="1" applyBorder="1" applyAlignment="1">
      <alignment horizontal="center" vertical="center"/>
    </xf>
    <xf numFmtId="0" fontId="0" fillId="0" borderId="60"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4" fillId="0" borderId="30" xfId="0" applyFont="1" applyBorder="1" applyAlignment="1">
      <alignment horizontal="center"/>
    </xf>
    <xf numFmtId="0" fontId="4" fillId="0" borderId="11" xfId="0" applyFont="1" applyBorder="1" applyAlignment="1">
      <alignment horizontal="center"/>
    </xf>
    <xf numFmtId="1" fontId="4" fillId="0" borderId="13" xfId="0" applyNumberFormat="1" applyFont="1" applyBorder="1" applyAlignment="1">
      <alignment horizontal="center" vertical="center" wrapText="1"/>
    </xf>
    <xf numFmtId="1" fontId="4" fillId="0" borderId="18" xfId="0" applyNumberFormat="1" applyFont="1" applyBorder="1" applyAlignment="1">
      <alignment horizontal="center" vertical="center" wrapText="1"/>
    </xf>
    <xf numFmtId="1" fontId="4" fillId="0" borderId="11" xfId="0" applyNumberFormat="1" applyFont="1" applyBorder="1" applyAlignment="1">
      <alignment horizontal="center" vertical="center" wrapText="1"/>
    </xf>
    <xf numFmtId="49" fontId="4" fillId="0" borderId="13" xfId="0" applyNumberFormat="1" applyFont="1" applyBorder="1" applyAlignment="1">
      <alignment horizontal="center" vertical="center" wrapText="1"/>
    </xf>
    <xf numFmtId="49" fontId="4" fillId="0" borderId="18" xfId="0" applyNumberFormat="1" applyFont="1" applyBorder="1" applyAlignment="1">
      <alignment horizontal="center" vertical="center" wrapText="1"/>
    </xf>
    <xf numFmtId="49" fontId="4" fillId="0" borderId="11" xfId="0" applyNumberFormat="1" applyFont="1" applyBorder="1" applyAlignment="1">
      <alignment horizontal="center" vertical="center" wrapText="1"/>
    </xf>
    <xf numFmtId="0" fontId="4" fillId="0" borderId="40" xfId="0" applyFont="1" applyBorder="1" applyAlignment="1">
      <alignment horizontal="center"/>
    </xf>
    <xf numFmtId="0" fontId="4" fillId="0" borderId="44" xfId="0" applyFont="1" applyBorder="1" applyAlignment="1">
      <alignment horizontal="center"/>
    </xf>
    <xf numFmtId="49" fontId="4" fillId="0" borderId="44" xfId="0" applyNumberFormat="1" applyFont="1" applyBorder="1" applyAlignment="1">
      <alignment horizontal="left" vertical="center" wrapText="1"/>
    </xf>
    <xf numFmtId="0" fontId="0" fillId="0" borderId="44" xfId="0" applyBorder="1" applyAlignment="1">
      <alignment horizontal="left" wrapText="1"/>
    </xf>
    <xf numFmtId="0" fontId="0" fillId="2" borderId="0" xfId="0" applyFill="1" applyBorder="1" applyAlignment="1">
      <alignment horizontal="center"/>
    </xf>
    <xf numFmtId="0" fontId="4" fillId="0" borderId="0" xfId="0" quotePrefix="1" applyFont="1" applyBorder="1" applyAlignment="1">
      <alignment horizontal="left" wrapText="1"/>
    </xf>
    <xf numFmtId="0" fontId="4" fillId="0" borderId="0" xfId="0" applyFont="1" applyBorder="1" applyAlignment="1">
      <alignment horizontal="left" wrapText="1"/>
    </xf>
    <xf numFmtId="0" fontId="4" fillId="0" borderId="0" xfId="0" applyFont="1" applyAlignment="1">
      <alignment wrapText="1"/>
    </xf>
    <xf numFmtId="0" fontId="11" fillId="0" borderId="0" xfId="0" applyFont="1" applyBorder="1" applyAlignment="1">
      <alignment horizontal="left" wrapText="1"/>
    </xf>
    <xf numFmtId="0" fontId="0" fillId="0" borderId="0" xfId="0" applyBorder="1" applyAlignment="1">
      <alignment horizontal="center"/>
    </xf>
    <xf numFmtId="0" fontId="3" fillId="0" borderId="0" xfId="0" applyFont="1" applyBorder="1" applyAlignment="1">
      <alignment horizontal="center"/>
    </xf>
    <xf numFmtId="0" fontId="0" fillId="2" borderId="0" xfId="0" applyFill="1" applyAlignment="1">
      <alignment horizontal="center"/>
    </xf>
    <xf numFmtId="0" fontId="2" fillId="0" borderId="38" xfId="0" applyFont="1" applyBorder="1" applyAlignment="1">
      <alignment horizontal="center" vertical="center"/>
    </xf>
    <xf numFmtId="0" fontId="0" fillId="0" borderId="2" xfId="0" applyBorder="1" applyAlignment="1">
      <alignment horizontal="center" vertical="center"/>
    </xf>
    <xf numFmtId="0" fontId="5" fillId="0" borderId="0" xfId="0" applyFont="1" applyBorder="1" applyAlignment="1">
      <alignment horizontal="left" wrapText="1"/>
    </xf>
    <xf numFmtId="0" fontId="0" fillId="0" borderId="0" xfId="0" applyAlignment="1">
      <alignment horizontal="left" wrapText="1"/>
    </xf>
    <xf numFmtId="0" fontId="4" fillId="0" borderId="0" xfId="0" applyFont="1" applyBorder="1" applyAlignment="1">
      <alignment horizontal="left" vertical="top" wrapText="1"/>
    </xf>
    <xf numFmtId="0" fontId="5" fillId="0" borderId="0" xfId="0" applyFont="1" applyBorder="1" applyAlignment="1">
      <alignment horizontal="left" vertical="top"/>
    </xf>
    <xf numFmtId="0" fontId="2" fillId="2" borderId="48" xfId="0" applyFont="1" applyFill="1" applyBorder="1" applyAlignment="1">
      <alignment horizontal="center" vertical="center" wrapText="1"/>
    </xf>
    <xf numFmtId="0" fontId="2" fillId="2" borderId="55" xfId="0" applyFont="1" applyFill="1" applyBorder="1" applyAlignment="1">
      <alignment horizontal="center" vertical="center" wrapText="1"/>
    </xf>
    <xf numFmtId="0" fontId="0" fillId="0" borderId="56" xfId="0" applyBorder="1" applyAlignment="1">
      <alignment horizontal="center" vertical="center" wrapText="1"/>
    </xf>
    <xf numFmtId="0" fontId="2" fillId="2" borderId="4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0" fillId="0" borderId="58" xfId="0" applyBorder="1" applyAlignment="1">
      <alignment horizontal="center" vertical="center" wrapText="1"/>
    </xf>
    <xf numFmtId="0" fontId="18" fillId="0" borderId="30" xfId="0" applyFont="1" applyBorder="1" applyAlignment="1">
      <alignment horizontal="center"/>
    </xf>
    <xf numFmtId="0" fontId="18" fillId="0" borderId="11" xfId="0" applyFont="1" applyBorder="1" applyAlignment="1">
      <alignment horizontal="center"/>
    </xf>
    <xf numFmtId="0" fontId="3" fillId="0" borderId="13"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2" fontId="10" fillId="0" borderId="0" xfId="0" applyNumberFormat="1" applyFont="1" applyBorder="1" applyAlignment="1">
      <alignment horizontal="left"/>
    </xf>
    <xf numFmtId="0" fontId="18" fillId="2" borderId="0" xfId="0" applyFont="1" applyFill="1" applyBorder="1" applyAlignment="1">
      <alignment horizontal="center"/>
    </xf>
    <xf numFmtId="0" fontId="18" fillId="0" borderId="17" xfId="0" applyNumberFormat="1" applyFont="1" applyBorder="1" applyAlignment="1">
      <alignment horizontal="center" vertical="center" wrapText="1"/>
    </xf>
    <xf numFmtId="0" fontId="18" fillId="0" borderId="17" xfId="0" applyNumberFormat="1" applyFont="1" applyBorder="1" applyAlignment="1">
      <alignment horizontal="center" wrapText="1"/>
    </xf>
    <xf numFmtId="0" fontId="18" fillId="0" borderId="1" xfId="0" applyFont="1" applyBorder="1" applyAlignment="1">
      <alignment horizontal="center"/>
    </xf>
    <xf numFmtId="0" fontId="18" fillId="0" borderId="17" xfId="0" applyFont="1" applyBorder="1" applyAlignment="1">
      <alignment horizontal="center"/>
    </xf>
    <xf numFmtId="0" fontId="8" fillId="2" borderId="20" xfId="0" applyFont="1" applyFill="1" applyBorder="1" applyAlignment="1">
      <alignment horizontal="center"/>
    </xf>
    <xf numFmtId="0" fontId="10" fillId="2" borderId="21" xfId="0" applyFont="1" applyFill="1" applyBorder="1" applyAlignment="1">
      <alignment horizontal="center"/>
    </xf>
    <xf numFmtId="0" fontId="10" fillId="2" borderId="25" xfId="0" applyFont="1" applyFill="1" applyBorder="1" applyAlignment="1">
      <alignment horizontal="center"/>
    </xf>
    <xf numFmtId="0" fontId="10" fillId="2" borderId="34" xfId="0" applyFont="1" applyFill="1" applyBorder="1" applyAlignment="1">
      <alignment horizontal="center"/>
    </xf>
    <xf numFmtId="0" fontId="10" fillId="3" borderId="21" xfId="0" applyFont="1" applyFill="1" applyBorder="1" applyAlignment="1">
      <alignment horizontal="center"/>
    </xf>
    <xf numFmtId="0" fontId="10" fillId="3" borderId="25" xfId="0" applyFont="1" applyFill="1" applyBorder="1" applyAlignment="1">
      <alignment horizontal="center"/>
    </xf>
    <xf numFmtId="0" fontId="10" fillId="3" borderId="34" xfId="0" applyFont="1" applyFill="1" applyBorder="1" applyAlignment="1">
      <alignment horizontal="center"/>
    </xf>
    <xf numFmtId="0" fontId="10" fillId="2" borderId="48" xfId="0" applyFont="1" applyFill="1" applyBorder="1" applyAlignment="1">
      <alignment horizontal="center" vertical="center"/>
    </xf>
    <xf numFmtId="0" fontId="10" fillId="2" borderId="59" xfId="0" applyFont="1" applyFill="1" applyBorder="1" applyAlignment="1">
      <alignment horizontal="center" vertical="center"/>
    </xf>
    <xf numFmtId="0" fontId="10" fillId="2" borderId="10" xfId="0" applyFont="1" applyFill="1" applyBorder="1" applyAlignment="1">
      <alignment horizontal="center" vertical="center"/>
    </xf>
    <xf numFmtId="0" fontId="10" fillId="2" borderId="9" xfId="0" applyFont="1" applyFill="1" applyBorder="1" applyAlignment="1">
      <alignment horizontal="center" vertical="center"/>
    </xf>
    <xf numFmtId="0" fontId="10" fillId="2" borderId="61" xfId="0" applyFont="1" applyFill="1" applyBorder="1" applyAlignment="1">
      <alignment horizontal="center" vertical="center"/>
    </xf>
    <xf numFmtId="0" fontId="10" fillId="2" borderId="55"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18" fillId="0" borderId="44" xfId="0" applyNumberFormat="1" applyFont="1" applyBorder="1" applyAlignment="1">
      <alignment horizontal="center" vertical="center" wrapText="1"/>
    </xf>
    <xf numFmtId="0" fontId="18" fillId="0" borderId="44" xfId="0" applyNumberFormat="1" applyFont="1" applyBorder="1" applyAlignment="1">
      <alignment horizontal="center" wrapText="1"/>
    </xf>
    <xf numFmtId="0" fontId="10" fillId="0" borderId="0" xfId="0" applyFont="1" applyBorder="1" applyAlignment="1">
      <alignment horizontal="left" wrapText="1"/>
    </xf>
    <xf numFmtId="0" fontId="10" fillId="0" borderId="0" xfId="0" applyFont="1" applyBorder="1" applyAlignment="1">
      <alignment horizontal="left"/>
    </xf>
    <xf numFmtId="0" fontId="18" fillId="0" borderId="40" xfId="0" applyFont="1" applyBorder="1" applyAlignment="1">
      <alignment horizontal="center"/>
    </xf>
    <xf numFmtId="0" fontId="18" fillId="0" borderId="44" xfId="0" applyFont="1" applyBorder="1" applyAlignment="1">
      <alignment horizontal="center"/>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wrapText="1"/>
    </xf>
    <xf numFmtId="0" fontId="18" fillId="0" borderId="0" xfId="0" applyFont="1" applyBorder="1" applyAlignment="1">
      <alignment horizontal="center"/>
    </xf>
    <xf numFmtId="0" fontId="18" fillId="2" borderId="0" xfId="0" applyFont="1" applyFill="1" applyAlignment="1">
      <alignment horizontal="center"/>
    </xf>
    <xf numFmtId="0" fontId="21" fillId="0" borderId="0" xfId="0" applyFont="1" applyBorder="1" applyAlignment="1">
      <alignment horizontal="left" wrapText="1"/>
    </xf>
    <xf numFmtId="0" fontId="18" fillId="0" borderId="0" xfId="0" applyFont="1" applyBorder="1" applyAlignment="1">
      <alignment horizontal="left" wrapText="1"/>
    </xf>
    <xf numFmtId="0" fontId="18" fillId="0" borderId="0" xfId="0" quotePrefix="1" applyFont="1" applyBorder="1" applyAlignment="1">
      <alignment horizontal="left" wrapText="1"/>
    </xf>
    <xf numFmtId="0" fontId="8" fillId="3" borderId="13" xfId="0" applyFont="1" applyFill="1" applyBorder="1" applyAlignment="1">
      <alignment horizontal="center"/>
    </xf>
    <xf numFmtId="0" fontId="8" fillId="3" borderId="18" xfId="0" applyFont="1" applyFill="1" applyBorder="1" applyAlignment="1">
      <alignment horizontal="center"/>
    </xf>
    <xf numFmtId="0" fontId="8" fillId="3" borderId="11" xfId="0" applyFont="1" applyFill="1" applyBorder="1" applyAlignment="1">
      <alignment horizontal="center"/>
    </xf>
    <xf numFmtId="16" fontId="3" fillId="2" borderId="17" xfId="0" applyNumberFormat="1" applyFont="1" applyFill="1" applyBorder="1" applyAlignment="1">
      <alignment horizontal="center"/>
    </xf>
    <xf numFmtId="49" fontId="3" fillId="2" borderId="17" xfId="0" applyNumberFormat="1" applyFont="1" applyFill="1" applyBorder="1" applyAlignment="1">
      <alignment horizontal="center"/>
    </xf>
    <xf numFmtId="0" fontId="10" fillId="0" borderId="37" xfId="0" applyFont="1" applyBorder="1" applyAlignment="1">
      <alignment horizontal="center" vertical="center"/>
    </xf>
    <xf numFmtId="0" fontId="10" fillId="0" borderId="16" xfId="0" applyFont="1" applyBorder="1" applyAlignment="1">
      <alignment horizontal="center" vertical="center"/>
    </xf>
    <xf numFmtId="0" fontId="8" fillId="5" borderId="13" xfId="0" applyFont="1" applyFill="1" applyBorder="1" applyAlignment="1">
      <alignment horizontal="left" vertical="top" wrapText="1"/>
    </xf>
    <xf numFmtId="0" fontId="0" fillId="0" borderId="18" xfId="0" applyBorder="1" applyAlignment="1"/>
    <xf numFmtId="0" fontId="0" fillId="0" borderId="11" xfId="0" applyBorder="1" applyAlignment="1"/>
    <xf numFmtId="0" fontId="8" fillId="3" borderId="13" xfId="0" applyFont="1" applyFill="1" applyBorder="1" applyAlignment="1">
      <alignment horizontal="center" vertical="center"/>
    </xf>
    <xf numFmtId="0" fontId="8" fillId="3" borderId="18" xfId="0" applyFont="1" applyFill="1" applyBorder="1" applyAlignment="1">
      <alignment horizontal="center" vertical="center"/>
    </xf>
    <xf numFmtId="0" fontId="8" fillId="3" borderId="11" xfId="0" applyFont="1" applyFill="1" applyBorder="1" applyAlignment="1">
      <alignment horizontal="center" vertical="center"/>
    </xf>
    <xf numFmtId="0" fontId="8" fillId="4" borderId="13" xfId="0" applyFont="1" applyFill="1" applyBorder="1" applyAlignment="1"/>
    <xf numFmtId="0" fontId="8" fillId="5" borderId="13" xfId="0" applyFont="1" applyFill="1" applyBorder="1" applyAlignment="1">
      <alignment vertical="top"/>
    </xf>
    <xf numFmtId="0" fontId="0" fillId="5" borderId="13" xfId="0" applyFill="1" applyBorder="1" applyAlignment="1">
      <alignment horizontal="left" vertical="top"/>
    </xf>
    <xf numFmtId="0" fontId="0" fillId="5" borderId="13" xfId="0" applyFill="1" applyBorder="1" applyAlignment="1">
      <alignment horizontal="left" vertical="top" wrapText="1"/>
    </xf>
    <xf numFmtId="0" fontId="8" fillId="6" borderId="13" xfId="0" applyFont="1" applyFill="1" applyBorder="1" applyAlignment="1">
      <alignment horizontal="left" vertical="top" wrapText="1"/>
    </xf>
    <xf numFmtId="0" fontId="0" fillId="5" borderId="18" xfId="0" applyFill="1" applyBorder="1" applyAlignment="1"/>
    <xf numFmtId="0" fontId="0" fillId="5" borderId="11" xfId="0" applyFill="1" applyBorder="1" applyAlignment="1"/>
    <xf numFmtId="0" fontId="8" fillId="3" borderId="17" xfId="0" applyFont="1" applyFill="1" applyBorder="1" applyAlignment="1">
      <alignment horizontal="center"/>
    </xf>
    <xf numFmtId="0" fontId="26" fillId="0" borderId="8" xfId="0" applyFont="1" applyBorder="1" applyAlignment="1" applyProtection="1">
      <alignment horizontal="left"/>
      <protection hidden="1"/>
    </xf>
    <xf numFmtId="0" fontId="26" fillId="0" borderId="9" xfId="0" applyFont="1" applyBorder="1" applyAlignment="1" applyProtection="1">
      <alignment horizontal="left"/>
      <protection hidden="1"/>
    </xf>
    <xf numFmtId="0" fontId="8" fillId="3" borderId="13" xfId="0" applyFont="1" applyFill="1" applyBorder="1" applyAlignment="1" applyProtection="1">
      <alignment horizontal="center" vertical="center"/>
      <protection hidden="1"/>
    </xf>
    <xf numFmtId="0" fontId="8" fillId="3" borderId="18" xfId="0" applyFont="1" applyFill="1" applyBorder="1" applyAlignment="1" applyProtection="1">
      <alignment horizontal="center" vertical="center"/>
      <protection hidden="1"/>
    </xf>
    <xf numFmtId="0" fontId="8" fillId="3" borderId="11" xfId="0" applyFont="1" applyFill="1" applyBorder="1" applyAlignment="1" applyProtection="1">
      <alignment horizontal="center" vertical="center"/>
      <protection hidden="1"/>
    </xf>
    <xf numFmtId="0" fontId="24" fillId="7" borderId="13" xfId="0" applyFont="1" applyFill="1" applyBorder="1" applyAlignment="1">
      <alignment horizontal="left" wrapText="1"/>
    </xf>
    <xf numFmtId="0" fontId="2" fillId="7" borderId="48" xfId="0" applyFont="1" applyFill="1" applyBorder="1" applyAlignment="1" applyProtection="1">
      <alignment horizontal="center"/>
      <protection hidden="1"/>
    </xf>
    <xf numFmtId="0" fontId="2" fillId="7" borderId="55" xfId="0" applyFont="1" applyFill="1" applyBorder="1" applyAlignment="1" applyProtection="1">
      <alignment horizontal="center"/>
      <protection hidden="1"/>
    </xf>
    <xf numFmtId="0" fontId="2" fillId="7" borderId="56" xfId="0" applyFont="1" applyFill="1" applyBorder="1" applyAlignment="1" applyProtection="1">
      <alignment horizontal="center"/>
      <protection hidden="1"/>
    </xf>
    <xf numFmtId="0" fontId="25" fillId="7" borderId="46" xfId="0" applyFont="1" applyFill="1" applyBorder="1" applyAlignment="1" applyProtection="1">
      <alignment horizontal="center"/>
      <protection locked="0"/>
    </xf>
    <xf numFmtId="0" fontId="8" fillId="7" borderId="57" xfId="0" applyFont="1" applyFill="1" applyBorder="1" applyAlignment="1" applyProtection="1">
      <alignment horizontal="center"/>
      <protection locked="0"/>
    </xf>
    <xf numFmtId="0" fontId="8" fillId="7" borderId="58" xfId="0" applyFont="1" applyFill="1" applyBorder="1" applyAlignment="1" applyProtection="1">
      <alignment horizontal="center"/>
      <protection locked="0"/>
    </xf>
    <xf numFmtId="0" fontId="14" fillId="7" borderId="48" xfId="0" applyFont="1" applyFill="1" applyBorder="1" applyAlignment="1" applyProtection="1">
      <alignment horizontal="center"/>
      <protection hidden="1"/>
    </xf>
    <xf numFmtId="0" fontId="14" fillId="7" borderId="55" xfId="0" applyFont="1" applyFill="1" applyBorder="1" applyAlignment="1" applyProtection="1">
      <alignment horizontal="center"/>
      <protection hidden="1"/>
    </xf>
    <xf numFmtId="0" fontId="14" fillId="7" borderId="56" xfId="0" applyFont="1" applyFill="1" applyBorder="1" applyAlignment="1" applyProtection="1">
      <alignment horizontal="center"/>
      <protection hidden="1"/>
    </xf>
    <xf numFmtId="0" fontId="28" fillId="7" borderId="46" xfId="0" applyFont="1" applyFill="1" applyBorder="1" applyAlignment="1" applyProtection="1">
      <alignment horizontal="center"/>
      <protection locked="0"/>
    </xf>
    <xf numFmtId="0" fontId="10" fillId="7" borderId="57" xfId="0" applyFont="1" applyFill="1" applyBorder="1" applyAlignment="1" applyProtection="1">
      <alignment horizontal="center"/>
      <protection locked="0"/>
    </xf>
    <xf numFmtId="0" fontId="10" fillId="7" borderId="58" xfId="0" applyFont="1" applyFill="1" applyBorder="1" applyAlignment="1" applyProtection="1">
      <alignment horizontal="center"/>
      <protection locked="0"/>
    </xf>
    <xf numFmtId="0" fontId="10" fillId="0" borderId="8" xfId="0" applyFont="1" applyBorder="1" applyAlignment="1" applyProtection="1">
      <alignment horizontal="left"/>
      <protection hidden="1"/>
    </xf>
    <xf numFmtId="0" fontId="10" fillId="0" borderId="9" xfId="0" applyFont="1" applyBorder="1" applyAlignment="1" applyProtection="1">
      <alignment horizontal="left"/>
      <protection hidden="1"/>
    </xf>
    <xf numFmtId="0" fontId="10" fillId="3" borderId="13" xfId="0" applyFont="1" applyFill="1" applyBorder="1" applyAlignment="1" applyProtection="1">
      <alignment horizontal="center" vertical="center"/>
      <protection hidden="1"/>
    </xf>
    <xf numFmtId="0" fontId="10" fillId="3" borderId="18" xfId="0" applyFont="1" applyFill="1" applyBorder="1" applyAlignment="1" applyProtection="1">
      <alignment horizontal="center" vertical="center"/>
      <protection hidden="1"/>
    </xf>
    <xf numFmtId="0" fontId="10" fillId="3" borderId="11" xfId="0" applyFont="1" applyFill="1" applyBorder="1" applyAlignment="1" applyProtection="1">
      <alignment horizontal="center" vertical="center"/>
      <protection hidden="1"/>
    </xf>
    <xf numFmtId="0" fontId="8" fillId="0" borderId="0" xfId="0" applyFont="1" applyBorder="1" applyAlignment="1" applyProtection="1">
      <alignment horizontal="left"/>
      <protection hidden="1"/>
    </xf>
    <xf numFmtId="0" fontId="8" fillId="3" borderId="21" xfId="0" applyFont="1" applyFill="1" applyBorder="1" applyAlignment="1" applyProtection="1">
      <alignment horizontal="center" vertical="center"/>
      <protection hidden="1"/>
    </xf>
    <xf numFmtId="0" fontId="8" fillId="3" borderId="25"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18" fillId="0" borderId="0" xfId="0" applyFont="1" applyAlignment="1">
      <alignment wrapText="1"/>
    </xf>
  </cellXfs>
  <cellStyles count="2">
    <cellStyle name="Hyperlink" xfId="1" builtinId="8"/>
    <cellStyle name="Normal" xfId="0" builtinId="0"/>
  </cellStyles>
  <dxfs count="47">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46"/>
      <tableStyleElement type="headerRow" dxfId="4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48477195067595"/>
          <c:y val="3.1100478468899521E-2"/>
        </c:manualLayout>
      </c:layout>
      <c:overlay val="0"/>
      <c:spPr>
        <a:noFill/>
        <a:ln w="25400">
          <a:noFill/>
        </a:ln>
      </c:spPr>
    </c:title>
    <c:autoTitleDeleted val="0"/>
    <c:plotArea>
      <c:layout>
        <c:manualLayout>
          <c:layoutTarget val="inner"/>
          <c:xMode val="edge"/>
          <c:yMode val="edge"/>
          <c:x val="6.4465507790247567E-2"/>
          <c:y val="0.15071787940840803"/>
          <c:w val="0.913523415271557"/>
          <c:h val="0.791866953717191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[2]Help!$E$61:$K$61</c:f>
              <c:strCache>
                <c:ptCount val="7"/>
                <c:pt idx="0">
                  <c:v>Datum</c:v>
                </c:pt>
                <c:pt idx="1">
                  <c:v>Alternative - A</c:v>
                </c:pt>
                <c:pt idx="2">
                  <c:v>Alternative - B</c:v>
                </c:pt>
                <c:pt idx="3">
                  <c:v>Alternative - C</c:v>
                </c:pt>
                <c:pt idx="4">
                  <c:v>Alternative - D</c:v>
                </c:pt>
                <c:pt idx="5">
                  <c:v>Alternative - E</c:v>
                </c:pt>
                <c:pt idx="6">
                  <c:v>Template Column</c:v>
                </c:pt>
              </c:strCache>
            </c:strRef>
          </c:cat>
          <c:val>
            <c:numRef>
              <c:f>[2]Help!$E$77:$K$77</c:f>
              <c:numCache>
                <c:formatCode>General</c:formatCode>
                <c:ptCount val="7"/>
                <c:pt idx="0">
                  <c:v>0</c:v>
                </c:pt>
                <c:pt idx="1">
                  <c:v>2</c:v>
                </c:pt>
                <c:pt idx="2">
                  <c:v>15</c:v>
                </c:pt>
                <c:pt idx="3">
                  <c:v>0</c:v>
                </c:pt>
                <c:pt idx="4">
                  <c:v>32</c:v>
                </c:pt>
                <c:pt idx="5">
                  <c:v>-24</c:v>
                </c:pt>
                <c:pt idx="6">
                  <c:v>0</c:v>
                </c:pt>
              </c:numCache>
            </c:numRef>
          </c:val>
        </c:ser>
        <c:dLbls>
          <c:showLegendKey val="0"/>
          <c:showVal val="0"/>
          <c:showCatName val="0"/>
          <c:showSerName val="0"/>
          <c:showPercent val="0"/>
          <c:showBubbleSize val="0"/>
        </c:dLbls>
        <c:gapWidth val="150"/>
        <c:axId val="426548544"/>
        <c:axId val="426548936"/>
      </c:barChart>
      <c:catAx>
        <c:axId val="426548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6548936"/>
        <c:crosses val="autoZero"/>
        <c:auto val="1"/>
        <c:lblAlgn val="ctr"/>
        <c:lblOffset val="100"/>
        <c:tickLblSkip val="1"/>
        <c:tickMarkSkip val="1"/>
        <c:noMultiLvlLbl val="0"/>
      </c:catAx>
      <c:valAx>
        <c:axId val="4265489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654854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00348576301776"/>
          <c:y val="3.4682080924855488E-2"/>
        </c:manualLayout>
      </c:layout>
      <c:overlay val="0"/>
      <c:spPr>
        <a:noFill/>
        <a:ln w="25400">
          <a:noFill/>
        </a:ln>
      </c:spPr>
    </c:title>
    <c:autoTitleDeleted val="0"/>
    <c:plotArea>
      <c:layout>
        <c:manualLayout>
          <c:layoutTarget val="inner"/>
          <c:xMode val="edge"/>
          <c:yMode val="edge"/>
          <c:x val="6.4668819521406989E-2"/>
          <c:y val="0.17341064934441799"/>
          <c:w val="0.91324991470474748"/>
          <c:h val="0.75722650213729192"/>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Example_Pugh!$E$24:$I$24</c:f>
              <c:strCache>
                <c:ptCount val="5"/>
                <c:pt idx="0">
                  <c:v>Datum</c:v>
                </c:pt>
                <c:pt idx="1">
                  <c:v>Alternative 1</c:v>
                </c:pt>
                <c:pt idx="2">
                  <c:v>Alternative 2</c:v>
                </c:pt>
                <c:pt idx="3">
                  <c:v>Alternative 3</c:v>
                </c:pt>
                <c:pt idx="4">
                  <c:v>Template Column</c:v>
                </c:pt>
              </c:strCache>
            </c:strRef>
          </c:cat>
          <c:val>
            <c:numRef>
              <c:f>Example_Pugh!$E$35:$I$35</c:f>
              <c:numCache>
                <c:formatCode>General</c:formatCode>
                <c:ptCount val="5"/>
                <c:pt idx="0">
                  <c:v>0</c:v>
                </c:pt>
                <c:pt idx="1">
                  <c:v>-21</c:v>
                </c:pt>
                <c:pt idx="2">
                  <c:v>21</c:v>
                </c:pt>
                <c:pt idx="3">
                  <c:v>0</c:v>
                </c:pt>
                <c:pt idx="4">
                  <c:v>0</c:v>
                </c:pt>
              </c:numCache>
            </c:numRef>
          </c:val>
        </c:ser>
        <c:dLbls>
          <c:showLegendKey val="0"/>
          <c:showVal val="0"/>
          <c:showCatName val="0"/>
          <c:showSerName val="0"/>
          <c:showPercent val="0"/>
          <c:showBubbleSize val="0"/>
        </c:dLbls>
        <c:gapWidth val="150"/>
        <c:axId val="426550112"/>
        <c:axId val="428271736"/>
      </c:barChart>
      <c:catAx>
        <c:axId val="42655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8271736"/>
        <c:crosses val="autoZero"/>
        <c:auto val="1"/>
        <c:lblAlgn val="ctr"/>
        <c:lblOffset val="100"/>
        <c:tickLblSkip val="1"/>
        <c:tickMarkSkip val="1"/>
        <c:noMultiLvlLbl val="0"/>
      </c:catAx>
      <c:valAx>
        <c:axId val="4282717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655011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172699635567133"/>
          <c:y val="3.5714285714285712E-2"/>
        </c:manualLayout>
      </c:layout>
      <c:overlay val="0"/>
      <c:spPr>
        <a:noFill/>
        <a:ln w="25400">
          <a:noFill/>
        </a:ln>
      </c:spPr>
    </c:title>
    <c:autoTitleDeleted val="0"/>
    <c:plotArea>
      <c:layout>
        <c:manualLayout>
          <c:layoutTarget val="inner"/>
          <c:xMode val="edge"/>
          <c:yMode val="edge"/>
          <c:x val="4.7961686855617289E-2"/>
          <c:y val="0.18506493506493507"/>
          <c:w val="0.93405385151314668"/>
          <c:h val="0.642857142857142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Pugh_Matrix!$E$5:$J$5</c:f>
              <c:strCache>
                <c:ptCount val="5"/>
                <c:pt idx="0">
                  <c:v>Datum</c:v>
                </c:pt>
                <c:pt idx="1">
                  <c:v>Alternative 1</c:v>
                </c:pt>
                <c:pt idx="2">
                  <c:v>Alternative 2</c:v>
                </c:pt>
                <c:pt idx="3">
                  <c:v>Alternative 3</c:v>
                </c:pt>
                <c:pt idx="4">
                  <c:v>Alternative 4</c:v>
                </c:pt>
              </c:strCache>
            </c:strRef>
          </c:cat>
          <c:val>
            <c:numRef>
              <c:f>Pugh_Matrix!$E$15:$J$15</c:f>
              <c:numCache>
                <c:formatCode>General</c:formatCode>
                <c:ptCount val="5"/>
                <c:pt idx="0">
                  <c:v>0</c:v>
                </c:pt>
                <c:pt idx="1">
                  <c:v>0</c:v>
                </c:pt>
                <c:pt idx="2">
                  <c:v>-13</c:v>
                </c:pt>
                <c:pt idx="3">
                  <c:v>0</c:v>
                </c:pt>
                <c:pt idx="4">
                  <c:v>0</c:v>
                </c:pt>
              </c:numCache>
            </c:numRef>
          </c:val>
        </c:ser>
        <c:dLbls>
          <c:showLegendKey val="0"/>
          <c:showVal val="0"/>
          <c:showCatName val="0"/>
          <c:showSerName val="0"/>
          <c:showPercent val="0"/>
          <c:showBubbleSize val="0"/>
        </c:dLbls>
        <c:gapWidth val="150"/>
        <c:axId val="428272912"/>
        <c:axId val="428273304"/>
      </c:barChart>
      <c:catAx>
        <c:axId val="428272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50" b="1" i="0" u="none" strike="noStrike" baseline="0">
                <a:solidFill>
                  <a:srgbClr val="000000"/>
                </a:solidFill>
                <a:latin typeface="Arial"/>
                <a:ea typeface="Arial"/>
                <a:cs typeface="Arial"/>
              </a:defRPr>
            </a:pPr>
            <a:endParaRPr lang="en-US"/>
          </a:p>
        </c:txPr>
        <c:crossAx val="428273304"/>
        <c:crosses val="autoZero"/>
        <c:auto val="1"/>
        <c:lblAlgn val="ctr"/>
        <c:lblOffset val="100"/>
        <c:tickLblSkip val="1"/>
        <c:tickMarkSkip val="1"/>
        <c:noMultiLvlLbl val="0"/>
      </c:catAx>
      <c:valAx>
        <c:axId val="42827330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827291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1</xdr:col>
          <xdr:colOff>781050</xdr:colOff>
          <xdr:row>1</xdr:row>
          <xdr:rowOff>28575</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0</xdr:rowOff>
        </xdr:from>
        <xdr:to>
          <xdr:col>0</xdr:col>
          <xdr:colOff>1009650</xdr:colOff>
          <xdr:row>0</xdr:row>
          <xdr:rowOff>257175</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1</xdr:col>
          <xdr:colOff>742950</xdr:colOff>
          <xdr:row>1</xdr:row>
          <xdr:rowOff>142875</xdr:rowOff>
        </xdr:to>
        <xdr:sp macro="" textlink="">
          <xdr:nvSpPr>
            <xdr:cNvPr id="9217" name="Object 1" hidden="1">
              <a:extLst>
                <a:ext uri="{63B3BB69-23CF-44E3-9099-C40C66FF867C}">
                  <a14:compatExt spid="_x0000_s921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142875</xdr:rowOff>
        </xdr:from>
        <xdr:to>
          <xdr:col>1</xdr:col>
          <xdr:colOff>1390650</xdr:colOff>
          <xdr:row>18</xdr:row>
          <xdr:rowOff>47625</xdr:rowOff>
        </xdr:to>
        <xdr:sp macro="" textlink="">
          <xdr:nvSpPr>
            <xdr:cNvPr id="9219" name="CheckBox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15</xdr:row>
          <xdr:rowOff>123825</xdr:rowOff>
        </xdr:from>
        <xdr:to>
          <xdr:col>2</xdr:col>
          <xdr:colOff>2057400</xdr:colOff>
          <xdr:row>18</xdr:row>
          <xdr:rowOff>28575</xdr:rowOff>
        </xdr:to>
        <xdr:sp macro="" textlink="">
          <xdr:nvSpPr>
            <xdr:cNvPr id="9220" name="CheckBox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4" name="Object 6" hidden="1">
              <a:extLst>
                <a:ext uri="{63B3BB69-23CF-44E3-9099-C40C66FF867C}">
                  <a14:compatExt spid="_x0000_s2054"/>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7" name="Object 9" hidden="1">
              <a:extLst>
                <a:ext uri="{63B3BB69-23CF-44E3-9099-C40C66FF867C}">
                  <a14:compatExt spid="_x0000_s20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285750</xdr:colOff>
          <xdr:row>1</xdr:row>
          <xdr:rowOff>28575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76200</xdr:rowOff>
        </xdr:from>
        <xdr:to>
          <xdr:col>6</xdr:col>
          <xdr:colOff>581025</xdr:colOff>
          <xdr:row>21</xdr:row>
          <xdr:rowOff>114300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180975</xdr:colOff>
      <xdr:row>27</xdr:row>
      <xdr:rowOff>38100</xdr:rowOff>
    </xdr:from>
    <xdr:to>
      <xdr:col>11</xdr:col>
      <xdr:colOff>47625</xdr:colOff>
      <xdr:row>29</xdr:row>
      <xdr:rowOff>1162050</xdr:rowOff>
    </xdr:to>
    <xdr:sp macro="" textlink="">
      <xdr:nvSpPr>
        <xdr:cNvPr id="8320" name="AutoShape 1"/>
        <xdr:cNvSpPr>
          <a:spLocks noChangeArrowheads="1"/>
        </xdr:cNvSpPr>
      </xdr:nvSpPr>
      <xdr:spPr bwMode="auto">
        <a:xfrm>
          <a:off x="3419475" y="7839075"/>
          <a:ext cx="2581275" cy="1381125"/>
        </a:xfrm>
        <a:prstGeom prst="wedgeRectCallout">
          <a:avLst>
            <a:gd name="adj1" fmla="val 65259"/>
            <a:gd name="adj2" fmla="val 96810"/>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190500</xdr:colOff>
      <xdr:row>29</xdr:row>
      <xdr:rowOff>1143000</xdr:rowOff>
    </xdr:from>
    <xdr:to>
      <xdr:col>3</xdr:col>
      <xdr:colOff>47625</xdr:colOff>
      <xdr:row>40</xdr:row>
      <xdr:rowOff>9525</xdr:rowOff>
    </xdr:to>
    <xdr:sp macro="" textlink="">
      <xdr:nvSpPr>
        <xdr:cNvPr id="8321" name="AutoShape 2"/>
        <xdr:cNvSpPr>
          <a:spLocks noChangeArrowheads="1"/>
        </xdr:cNvSpPr>
      </xdr:nvSpPr>
      <xdr:spPr bwMode="auto">
        <a:xfrm>
          <a:off x="247650" y="9201150"/>
          <a:ext cx="2819400" cy="1685925"/>
        </a:xfrm>
        <a:prstGeom prst="wedgeRectCallout">
          <a:avLst>
            <a:gd name="adj1" fmla="val 160134"/>
            <a:gd name="adj2" fmla="val -9889"/>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47625</xdr:colOff>
      <xdr:row>30</xdr:row>
      <xdr:rowOff>38100</xdr:rowOff>
    </xdr:from>
    <xdr:to>
      <xdr:col>11</xdr:col>
      <xdr:colOff>2705100</xdr:colOff>
      <xdr:row>40</xdr:row>
      <xdr:rowOff>85725</xdr:rowOff>
    </xdr:to>
    <xdr:sp macro="" textlink="">
      <xdr:nvSpPr>
        <xdr:cNvPr id="8195" name="AutoShape 3"/>
        <xdr:cNvSpPr>
          <a:spLocks noChangeArrowheads="1"/>
        </xdr:cNvSpPr>
      </xdr:nvSpPr>
      <xdr:spPr bwMode="auto">
        <a:xfrm>
          <a:off x="6000750" y="9296400"/>
          <a:ext cx="2657475" cy="1666875"/>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1:</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descriptions of </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Criteria</a:t>
          </a:r>
          <a:r>
            <a:rPr lang="en-US" sz="1000" b="0" i="0" u="none" strike="noStrike" baseline="0">
              <a:solidFill>
                <a:srgbClr val="000000"/>
              </a:solidFill>
              <a:latin typeface="Arial"/>
              <a:cs typeface="Arial"/>
            </a:rPr>
            <a:t>; and</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Alternatives</a:t>
          </a:r>
          <a:r>
            <a:rPr lang="en-US" sz="1000" b="0" i="0" u="none" strike="noStrike" baseline="0">
              <a:solidFill>
                <a:srgbClr val="000000"/>
              </a:solidFill>
              <a:latin typeface="Arial"/>
              <a:cs typeface="Arial"/>
            </a:rPr>
            <a:t>.</a:t>
          </a:r>
        </a:p>
      </xdr:txBody>
    </xdr:sp>
    <xdr:clientData/>
  </xdr:twoCellAnchor>
  <xdr:twoCellAnchor>
    <xdr:from>
      <xdr:col>2</xdr:col>
      <xdr:colOff>2657475</xdr:colOff>
      <xdr:row>49</xdr:row>
      <xdr:rowOff>1076325</xdr:rowOff>
    </xdr:from>
    <xdr:to>
      <xdr:col>4</xdr:col>
      <xdr:colOff>38100</xdr:colOff>
      <xdr:row>60</xdr:row>
      <xdr:rowOff>28575</xdr:rowOff>
    </xdr:to>
    <xdr:sp macro="" textlink="">
      <xdr:nvSpPr>
        <xdr:cNvPr id="8323" name="AutoShape 4"/>
        <xdr:cNvSpPr>
          <a:spLocks noChangeArrowheads="1"/>
        </xdr:cNvSpPr>
      </xdr:nvSpPr>
      <xdr:spPr bwMode="auto">
        <a:xfrm>
          <a:off x="2962275" y="13535025"/>
          <a:ext cx="314325" cy="1733550"/>
        </a:xfrm>
        <a:prstGeom prst="wedgeRectCallout">
          <a:avLst>
            <a:gd name="adj1" fmla="val 971213"/>
            <a:gd name="adj2" fmla="val -9343"/>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38100</xdr:colOff>
      <xdr:row>68</xdr:row>
      <xdr:rowOff>66675</xdr:rowOff>
    </xdr:from>
    <xdr:to>
      <xdr:col>23</xdr:col>
      <xdr:colOff>0</xdr:colOff>
      <xdr:row>86</xdr:row>
      <xdr:rowOff>57150</xdr:rowOff>
    </xdr:to>
    <xdr:graphicFrame macro="">
      <xdr:nvGraphicFramePr>
        <xdr:cNvPr id="832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161925</xdr:colOff>
      <xdr:row>69</xdr:row>
      <xdr:rowOff>1066800</xdr:rowOff>
    </xdr:from>
    <xdr:to>
      <xdr:col>10</xdr:col>
      <xdr:colOff>47625</xdr:colOff>
      <xdr:row>80</xdr:row>
      <xdr:rowOff>19050</xdr:rowOff>
    </xdr:to>
    <xdr:sp macro="" textlink="">
      <xdr:nvSpPr>
        <xdr:cNvPr id="8325" name="AutoShape 6"/>
        <xdr:cNvSpPr>
          <a:spLocks noChangeArrowheads="1"/>
        </xdr:cNvSpPr>
      </xdr:nvSpPr>
      <xdr:spPr bwMode="auto">
        <a:xfrm>
          <a:off x="3400425" y="17840325"/>
          <a:ext cx="2219325" cy="1733550"/>
        </a:xfrm>
        <a:prstGeom prst="wedgeRectCallout">
          <a:avLst>
            <a:gd name="adj1" fmla="val 85069"/>
            <a:gd name="adj2" fmla="val -10440"/>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161925</xdr:colOff>
      <xdr:row>50</xdr:row>
      <xdr:rowOff>0</xdr:rowOff>
    </xdr:from>
    <xdr:to>
      <xdr:col>13</xdr:col>
      <xdr:colOff>123825</xdr:colOff>
      <xdr:row>60</xdr:row>
      <xdr:rowOff>133350</xdr:rowOff>
    </xdr:to>
    <xdr:sp macro="" textlink="">
      <xdr:nvSpPr>
        <xdr:cNvPr id="8199" name="AutoShape 7"/>
        <xdr:cNvSpPr>
          <a:spLocks noChangeArrowheads="1"/>
        </xdr:cNvSpPr>
      </xdr:nvSpPr>
      <xdr:spPr bwMode="auto">
        <a:xfrm>
          <a:off x="6115050" y="13620750"/>
          <a:ext cx="3238500" cy="175260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2:</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Criteria Ranking</a:t>
          </a:r>
          <a:r>
            <a:rPr lang="en-US" sz="1000" b="0" i="0" u="none" strike="noStrike" baseline="0">
              <a:solidFill>
                <a:srgbClr val="000000"/>
              </a:solidFill>
              <a:latin typeface="Arial"/>
              <a:cs typeface="Arial"/>
            </a:rPr>
            <a:t> under </a:t>
          </a:r>
          <a:r>
            <a:rPr lang="en-US" sz="1000" b="1" i="0" u="none" strike="noStrike" baseline="0">
              <a:solidFill>
                <a:srgbClr val="000000"/>
              </a:solidFill>
              <a:latin typeface="Arial"/>
              <a:cs typeface="Arial"/>
            </a:rPr>
            <a:t>Column D</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xdr:twoCellAnchor>
    <xdr:from>
      <xdr:col>10</xdr:col>
      <xdr:colOff>361950</xdr:colOff>
      <xdr:row>69</xdr:row>
      <xdr:rowOff>857250</xdr:rowOff>
    </xdr:from>
    <xdr:to>
      <xdr:col>11</xdr:col>
      <xdr:colOff>2667000</xdr:colOff>
      <xdr:row>82</xdr:row>
      <xdr:rowOff>133350</xdr:rowOff>
    </xdr:to>
    <xdr:sp macro="" textlink="">
      <xdr:nvSpPr>
        <xdr:cNvPr id="8200" name="AutoShape 8"/>
        <xdr:cNvSpPr>
          <a:spLocks noChangeArrowheads="1"/>
        </xdr:cNvSpPr>
      </xdr:nvSpPr>
      <xdr:spPr bwMode="auto">
        <a:xfrm>
          <a:off x="5934075" y="17630775"/>
          <a:ext cx="2686050" cy="238125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3:</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Alternative Ranking</a:t>
          </a:r>
          <a:r>
            <a:rPr lang="en-US" sz="1000" b="0" i="0" u="none" strike="noStrike" baseline="0">
              <a:solidFill>
                <a:srgbClr val="000000"/>
              </a:solidFill>
              <a:latin typeface="Arial"/>
              <a:cs typeface="Arial"/>
            </a:rPr>
            <a:t> based on how well the Alternative meets the Criteria in comparison to Datum</a:t>
          </a:r>
        </a:p>
        <a:p>
          <a:pPr algn="l" rtl="0">
            <a:defRPr sz="1000"/>
          </a:pPr>
          <a:r>
            <a:rPr lang="en-US" sz="1000" b="0" i="0" u="none" strike="noStrike" baseline="0">
              <a:solidFill>
                <a:srgbClr val="000000"/>
              </a:solidFill>
              <a:latin typeface="Arial"/>
              <a:cs typeface="Arial"/>
            </a:rPr>
            <a:t> -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8247" name="Object 55" hidden="1">
              <a:extLst>
                <a:ext uri="{63B3BB69-23CF-44E3-9099-C40C66FF867C}">
                  <a14:compatExt spid="_x0000_s824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9525</xdr:colOff>
      <xdr:row>36</xdr:row>
      <xdr:rowOff>142875</xdr:rowOff>
    </xdr:from>
    <xdr:to>
      <xdr:col>9</xdr:col>
      <xdr:colOff>1123950</xdr:colOff>
      <xdr:row>57</xdr:row>
      <xdr:rowOff>38100</xdr:rowOff>
    </xdr:to>
    <xdr:graphicFrame macro="">
      <xdr:nvGraphicFramePr>
        <xdr:cNvPr id="617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3</xdr:row>
      <xdr:rowOff>38100</xdr:rowOff>
    </xdr:from>
    <xdr:to>
      <xdr:col>9</xdr:col>
      <xdr:colOff>333375</xdr:colOff>
      <xdr:row>17</xdr:row>
      <xdr:rowOff>85725</xdr:rowOff>
    </xdr:to>
    <xdr:pic>
      <xdr:nvPicPr>
        <xdr:cNvPr id="6177"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50" y="590550"/>
          <a:ext cx="5219700" cy="2314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24</xdr:row>
      <xdr:rowOff>47625</xdr:rowOff>
    </xdr:from>
    <xdr:to>
      <xdr:col>10</xdr:col>
      <xdr:colOff>2705100</xdr:colOff>
      <xdr:row>42</xdr:row>
      <xdr:rowOff>66675</xdr:rowOff>
    </xdr:to>
    <xdr:graphicFrame macro="">
      <xdr:nvGraphicFramePr>
        <xdr:cNvPr id="722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762000</xdr:colOff>
          <xdr:row>2</xdr:row>
          <xdr:rowOff>85725</xdr:rowOff>
        </xdr:from>
        <xdr:to>
          <xdr:col>2</xdr:col>
          <xdr:colOff>1857375</xdr:colOff>
          <xdr:row>3</xdr:row>
          <xdr:rowOff>161925</xdr:rowOff>
        </xdr:to>
        <xdr:sp macro="" textlink="">
          <xdr:nvSpPr>
            <xdr:cNvPr id="7181" name="CommandButton1"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85725</xdr:rowOff>
        </xdr:from>
        <xdr:to>
          <xdr:col>2</xdr:col>
          <xdr:colOff>762000</xdr:colOff>
          <xdr:row>3</xdr:row>
          <xdr:rowOff>161925</xdr:rowOff>
        </xdr:to>
        <xdr:sp macro="" textlink="">
          <xdr:nvSpPr>
            <xdr:cNvPr id="7182" name="CommandButton2"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2</xdr:col>
          <xdr:colOff>914400</xdr:colOff>
          <xdr:row>1</xdr:row>
          <xdr:rowOff>47625</xdr:rowOff>
        </xdr:to>
        <xdr:sp macro="" textlink="">
          <xdr:nvSpPr>
            <xdr:cNvPr id="7190" name="Object 22" hidden="1">
              <a:extLst>
                <a:ext uri="{63B3BB69-23CF-44E3-9099-C40C66FF867C}">
                  <a14:compatExt spid="_x0000_s719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15</xdr:row>
          <xdr:rowOff>47625</xdr:rowOff>
        </xdr:from>
        <xdr:to>
          <xdr:col>2</xdr:col>
          <xdr:colOff>1162050</xdr:colOff>
          <xdr:row>16</xdr:row>
          <xdr:rowOff>95250</xdr:rowOff>
        </xdr:to>
        <xdr:sp macro="" textlink="">
          <xdr:nvSpPr>
            <xdr:cNvPr id="7200" name="Button 32" hidden="1">
              <a:extLst>
                <a:ext uri="{63B3BB69-23CF-44E3-9099-C40C66FF867C}">
                  <a14:compatExt spid="_x0000_s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QST_CausalAnalysis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issl_nts2\SPG_workDir\SunilShenoy\Rahul\DAR%20templates\04_Pugh_Matrix_V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_History"/>
      <sheetName val="Revision History"/>
      <sheetName val="Help"/>
      <sheetName val="Summary Sheet"/>
      <sheetName val="DataSheet"/>
      <sheetName val="Pareto Analysis"/>
      <sheetName val="Fishbone Diagram"/>
      <sheetName val="5 why"/>
      <sheetName val="3 x 5 why"/>
    </sheetNames>
    <sheetDataSet>
      <sheetData sheetId="0" refreshError="1"/>
      <sheetData sheetId="1" refreshError="1"/>
      <sheetData sheetId="2" refreshError="1"/>
      <sheetData sheetId="3" refreshError="1"/>
      <sheetData sheetId="4" refreshError="1"/>
      <sheetData sheetId="5" refreshError="1"/>
      <sheetData sheetId="6">
        <row r="37">
          <cell r="B37" t="str">
            <v xml:space="preserve"> Cause Category</v>
          </cell>
          <cell r="C37" t="str">
            <v>Root Cause</v>
          </cell>
          <cell r="D37" t="str">
            <v>Preventive Action</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ugh_Matrix-Example"/>
      <sheetName val="Definition"/>
      <sheetName val="Revision"/>
      <sheetName val="Pugh_Matrix"/>
      <sheetName val="Template_Version"/>
    </sheetNames>
    <sheetDataSet>
      <sheetData sheetId="0">
        <row r="61">
          <cell r="E61" t="str">
            <v>Datum</v>
          </cell>
          <cell r="F61" t="str">
            <v>Alternative - A</v>
          </cell>
          <cell r="G61" t="str">
            <v>Alternative - B</v>
          </cell>
          <cell r="H61" t="str">
            <v>Alternative - C</v>
          </cell>
          <cell r="I61" t="str">
            <v>Alternative - D</v>
          </cell>
          <cell r="J61" t="str">
            <v>Alternative - E</v>
          </cell>
          <cell r="K61" t="str">
            <v>Template Column</v>
          </cell>
        </row>
        <row r="77">
          <cell r="E77">
            <v>0</v>
          </cell>
          <cell r="F77">
            <v>2</v>
          </cell>
          <cell r="G77">
            <v>15</v>
          </cell>
          <cell r="H77">
            <v>0</v>
          </cell>
          <cell r="I77">
            <v>32</v>
          </cell>
          <cell r="J77">
            <v>-24</v>
          </cell>
          <cell r="K77">
            <v>0</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2.doc"/></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xml"/><Relationship Id="rId5" Type="http://schemas.openxmlformats.org/officeDocument/2006/relationships/image" Target="../media/image3.emf"/><Relationship Id="rId4" Type="http://schemas.openxmlformats.org/officeDocument/2006/relationships/oleObject" Target="../embeddings/Microsoft_Word_97_-_2003_Document3.doc"/><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oleObject" Target="../embeddings/Microsoft_Word_97_-_2003_Document5.doc"/><Relationship Id="rId5" Type="http://schemas.openxmlformats.org/officeDocument/2006/relationships/image" Target="../media/image6.emf"/><Relationship Id="rId4" Type="http://schemas.openxmlformats.org/officeDocument/2006/relationships/oleObject" Target="../embeddings/Microsoft_Word_97_-_2003_Document4.doc"/></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oleObject" Target="../embeddings/Microsoft_Word_97_-_2003_Document6.doc"/></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oleObject" Target="../embeddings/Microsoft_Word_97_-_2003_Document7.doc"/></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6.emf"/><Relationship Id="rId4" Type="http://schemas.openxmlformats.org/officeDocument/2006/relationships/oleObject" Target="../embeddings/Microsoft_Word_97_-_2003_Document8.doc"/></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8.vml"/><Relationship Id="rId7" Type="http://schemas.openxmlformats.org/officeDocument/2006/relationships/image" Target="../media/image8.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2.xml"/><Relationship Id="rId4" Type="http://schemas.openxmlformats.org/officeDocument/2006/relationships/oleObject" Target="../embeddings/Microsoft_Word_97_-_2003_Document9.doc"/><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P20"/>
  <sheetViews>
    <sheetView showGridLines="0" zoomScaleNormal="100" workbookViewId="0">
      <selection activeCell="E8" sqref="E8"/>
    </sheetView>
  </sheetViews>
  <sheetFormatPr defaultRowHeight="12.75" x14ac:dyDescent="0.2"/>
  <cols>
    <col min="1" max="1" width="6.140625" customWidth="1"/>
    <col min="2" max="2" width="12.85546875" customWidth="1"/>
    <col min="3" max="3" width="18.5703125" customWidth="1"/>
    <col min="4" max="4" width="2.140625" customWidth="1"/>
    <col min="5" max="5" width="42.85546875" style="28" customWidth="1"/>
    <col min="6" max="6" width="32" style="28" customWidth="1"/>
    <col min="7" max="7" width="32.85546875" customWidth="1"/>
    <col min="8" max="8" width="40" customWidth="1"/>
    <col min="9" max="9" width="30.7109375" customWidth="1"/>
  </cols>
  <sheetData>
    <row r="1" spans="1:16" ht="18" x14ac:dyDescent="0.25">
      <c r="E1" s="113" t="s">
        <v>25</v>
      </c>
      <c r="H1" s="29"/>
      <c r="I1" s="30"/>
    </row>
    <row r="2" spans="1:16" ht="15.75" x14ac:dyDescent="0.25">
      <c r="E2" s="27"/>
      <c r="H2" s="29"/>
      <c r="I2" s="30"/>
    </row>
    <row r="3" spans="1:16" s="100" customFormat="1" ht="18" x14ac:dyDescent="0.2">
      <c r="A3" s="101" t="s">
        <v>63</v>
      </c>
      <c r="C3" s="102"/>
      <c r="D3" s="103"/>
    </row>
    <row r="4" spans="1:16" s="100" customFormat="1" x14ac:dyDescent="0.2">
      <c r="A4" s="104"/>
      <c r="C4" s="105"/>
      <c r="D4" s="103"/>
    </row>
    <row r="5" spans="1:16" s="100" customFormat="1" x14ac:dyDescent="0.2">
      <c r="A5" s="103"/>
      <c r="C5" s="103"/>
      <c r="D5" s="103"/>
    </row>
    <row r="6" spans="1:16" s="100" customFormat="1" ht="18" x14ac:dyDescent="0.2">
      <c r="A6" s="106" t="s">
        <v>23</v>
      </c>
      <c r="C6" s="107" t="s">
        <v>60</v>
      </c>
      <c r="D6" s="107"/>
    </row>
    <row r="7" spans="1:16" s="100" customFormat="1" ht="18" x14ac:dyDescent="0.2">
      <c r="A7" s="106" t="s">
        <v>61</v>
      </c>
      <c r="C7" s="106" t="s">
        <v>65</v>
      </c>
      <c r="D7" s="106"/>
    </row>
    <row r="8" spans="1:16" s="100" customFormat="1" x14ac:dyDescent="0.2">
      <c r="A8" s="104"/>
      <c r="C8" s="103"/>
      <c r="D8" s="103"/>
    </row>
    <row r="9" spans="1:16" s="100" customFormat="1" x14ac:dyDescent="0.2">
      <c r="A9" s="104"/>
      <c r="C9" s="103"/>
      <c r="D9" s="103"/>
    </row>
    <row r="10" spans="1:16" s="100" customFormat="1" ht="27" customHeight="1" x14ac:dyDescent="0.3">
      <c r="A10" s="108" t="s">
        <v>85</v>
      </c>
      <c r="C10" s="103"/>
      <c r="D10" s="103"/>
    </row>
    <row r="11" spans="1:16" s="32" customFormat="1" ht="21.75" customHeight="1" thickBot="1" x14ac:dyDescent="0.25">
      <c r="A11" s="31"/>
      <c r="C11" s="33"/>
      <c r="D11" s="34"/>
      <c r="E11" s="35"/>
      <c r="H11" s="36"/>
      <c r="I11" s="37"/>
      <c r="K11" s="36"/>
      <c r="N11" s="38"/>
      <c r="P11" s="39"/>
    </row>
    <row r="12" spans="1:16" ht="18" x14ac:dyDescent="0.25">
      <c r="A12" s="109" t="s">
        <v>87</v>
      </c>
      <c r="B12" s="40"/>
      <c r="C12" s="40"/>
      <c r="D12" s="40"/>
      <c r="E12" s="40"/>
      <c r="F12" s="41"/>
      <c r="G12" s="42"/>
      <c r="H12" s="42"/>
      <c r="I12" s="42"/>
    </row>
    <row r="13" spans="1:16" s="44" customFormat="1" ht="15" customHeight="1" x14ac:dyDescent="0.2">
      <c r="A13" s="43" t="s">
        <v>12</v>
      </c>
      <c r="B13" s="99" t="s">
        <v>13</v>
      </c>
      <c r="C13" s="402" t="s">
        <v>14</v>
      </c>
      <c r="D13" s="403"/>
      <c r="E13" s="404" t="s">
        <v>15</v>
      </c>
      <c r="F13" s="405"/>
    </row>
    <row r="14" spans="1:16" s="45" customFormat="1" x14ac:dyDescent="0.2">
      <c r="A14" s="111">
        <v>1</v>
      </c>
      <c r="B14" s="90" t="s">
        <v>45</v>
      </c>
      <c r="C14" s="399" t="s">
        <v>16</v>
      </c>
      <c r="D14" s="400"/>
      <c r="E14" s="398" t="s">
        <v>17</v>
      </c>
      <c r="F14" s="401"/>
    </row>
    <row r="15" spans="1:16" s="45" customFormat="1" x14ac:dyDescent="0.2">
      <c r="A15" s="112">
        <v>1.1000000000000001</v>
      </c>
      <c r="B15" s="110" t="s">
        <v>64</v>
      </c>
      <c r="C15" s="399" t="s">
        <v>47</v>
      </c>
      <c r="D15" s="400"/>
      <c r="E15" s="398" t="s">
        <v>48</v>
      </c>
      <c r="F15" s="401"/>
    </row>
    <row r="16" spans="1:16" s="45" customFormat="1" ht="27" customHeight="1" x14ac:dyDescent="0.2">
      <c r="A16" s="112">
        <v>1.2</v>
      </c>
      <c r="B16" s="110" t="s">
        <v>77</v>
      </c>
      <c r="C16" s="399" t="s">
        <v>75</v>
      </c>
      <c r="D16" s="400"/>
      <c r="E16" s="398" t="s">
        <v>70</v>
      </c>
      <c r="F16" s="401"/>
    </row>
    <row r="17" spans="1:6" s="45" customFormat="1" ht="43.5" customHeight="1" x14ac:dyDescent="0.2">
      <c r="A17" s="379">
        <v>1.3</v>
      </c>
      <c r="B17" s="110" t="s">
        <v>166</v>
      </c>
      <c r="C17" s="398" t="s">
        <v>164</v>
      </c>
      <c r="D17" s="398"/>
      <c r="E17" s="398" t="s">
        <v>165</v>
      </c>
      <c r="F17" s="398"/>
    </row>
    <row r="18" spans="1:6" s="45" customFormat="1" ht="13.5" customHeight="1" x14ac:dyDescent="0.2">
      <c r="A18" s="379">
        <v>1.4</v>
      </c>
      <c r="B18" s="378" t="s">
        <v>169</v>
      </c>
      <c r="C18" s="398" t="s">
        <v>168</v>
      </c>
      <c r="D18" s="398"/>
      <c r="E18" s="398" t="s">
        <v>170</v>
      </c>
      <c r="F18" s="398"/>
    </row>
    <row r="19" spans="1:6" s="45" customFormat="1" ht="13.5" customHeight="1" x14ac:dyDescent="0.2">
      <c r="A19" s="379">
        <v>1.5</v>
      </c>
      <c r="B19" s="384" t="s">
        <v>180</v>
      </c>
      <c r="C19" s="397" t="s">
        <v>181</v>
      </c>
      <c r="D19" s="398"/>
      <c r="E19" s="397" t="s">
        <v>182</v>
      </c>
      <c r="F19" s="398"/>
    </row>
    <row r="20" spans="1:6" x14ac:dyDescent="0.2">
      <c r="A20" s="379">
        <v>1.6</v>
      </c>
      <c r="B20" s="384" t="s">
        <v>183</v>
      </c>
      <c r="C20" s="397" t="s">
        <v>184</v>
      </c>
      <c r="D20" s="398"/>
      <c r="E20" s="397" t="s">
        <v>185</v>
      </c>
      <c r="F20" s="398"/>
    </row>
  </sheetData>
  <mergeCells count="16">
    <mergeCell ref="C20:D20"/>
    <mergeCell ref="E20:F20"/>
    <mergeCell ref="C15:D15"/>
    <mergeCell ref="E15:F15"/>
    <mergeCell ref="C13:D13"/>
    <mergeCell ref="E13:F13"/>
    <mergeCell ref="C14:D14"/>
    <mergeCell ref="E14:F14"/>
    <mergeCell ref="C19:D19"/>
    <mergeCell ref="E19:F19"/>
    <mergeCell ref="C16:D16"/>
    <mergeCell ref="E16:F16"/>
    <mergeCell ref="C18:D18"/>
    <mergeCell ref="E18:F18"/>
    <mergeCell ref="C17:D17"/>
    <mergeCell ref="E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colBreaks count="1" manualBreakCount="1">
    <brk id="6" max="38" man="1"/>
  </colBreaks>
  <drawing r:id="rId2"/>
  <legacyDrawing r:id="rId3"/>
  <oleObjects>
    <mc:AlternateContent xmlns:mc="http://schemas.openxmlformats.org/markup-compatibility/2006">
      <mc:Choice Requires="x14">
        <oleObject progId="Word.Document.8" shapeId="3073" r:id="rId4">
          <objectPr defaultSize="0" r:id="rId5">
            <anchor moveWithCells="1">
              <from>
                <xdr:col>0</xdr:col>
                <xdr:colOff>9525</xdr:colOff>
                <xdr:row>0</xdr:row>
                <xdr:rowOff>0</xdr:rowOff>
              </from>
              <to>
                <xdr:col>1</xdr:col>
                <xdr:colOff>781050</xdr:colOff>
                <xdr:row>1</xdr:row>
                <xdr:rowOff>28575</xdr:rowOff>
              </to>
            </anchor>
          </objectPr>
        </oleObject>
      </mc:Choice>
      <mc:Fallback>
        <oleObject progId="Word.Document.8" shapeId="3073"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I22"/>
  <sheetViews>
    <sheetView showGridLines="0" zoomScaleNormal="100" workbookViewId="0">
      <selection activeCell="G18" sqref="G18"/>
    </sheetView>
  </sheetViews>
  <sheetFormatPr defaultRowHeight="12.75" x14ac:dyDescent="0.2"/>
  <cols>
    <col min="1" max="1" width="20.28515625" customWidth="1"/>
    <col min="2" max="2" width="42.140625" customWidth="1"/>
    <col min="3" max="3" width="15.28515625" customWidth="1"/>
    <col min="4" max="4" width="14.5703125" customWidth="1"/>
    <col min="5" max="5" width="11.7109375" customWidth="1"/>
    <col min="8" max="8" width="11.140625" customWidth="1"/>
    <col min="9" max="9" width="10.5703125" customWidth="1"/>
  </cols>
  <sheetData>
    <row r="1" spans="1:9" ht="23.25" customHeight="1" x14ac:dyDescent="0.2">
      <c r="A1" s="190"/>
      <c r="B1" s="406" t="s">
        <v>25</v>
      </c>
      <c r="C1" s="406"/>
      <c r="D1" s="406"/>
      <c r="E1" s="190"/>
      <c r="F1" s="190"/>
      <c r="G1" s="190"/>
      <c r="H1" s="190"/>
      <c r="I1" s="190"/>
    </row>
    <row r="2" spans="1:9" ht="23.25" customHeight="1" x14ac:dyDescent="0.2">
      <c r="A2" s="190"/>
      <c r="B2" s="191"/>
      <c r="C2" s="192"/>
      <c r="D2" s="190"/>
      <c r="E2" s="190"/>
      <c r="F2" s="190"/>
      <c r="G2" s="190"/>
      <c r="H2" s="190"/>
      <c r="I2" s="190"/>
    </row>
    <row r="3" spans="1:9" ht="20.25" x14ac:dyDescent="0.3">
      <c r="A3" s="193" t="s">
        <v>78</v>
      </c>
      <c r="C3" s="193"/>
      <c r="D3" s="46"/>
    </row>
    <row r="4" spans="1:9" ht="12" customHeight="1" x14ac:dyDescent="0.3">
      <c r="A4" s="194" t="s">
        <v>79</v>
      </c>
      <c r="C4" s="193"/>
      <c r="D4" s="46"/>
    </row>
    <row r="5" spans="1:9" ht="20.25" x14ac:dyDescent="0.3">
      <c r="A5" s="104"/>
      <c r="C5" s="193"/>
      <c r="D5" s="46"/>
    </row>
    <row r="6" spans="1:9" ht="15.75" x14ac:dyDescent="0.25">
      <c r="A6" s="195" t="s">
        <v>80</v>
      </c>
      <c r="B6" s="46" t="s">
        <v>189</v>
      </c>
    </row>
    <row r="7" spans="1:9" ht="15.75" x14ac:dyDescent="0.25">
      <c r="A7" s="195" t="s">
        <v>81</v>
      </c>
      <c r="B7" s="46"/>
    </row>
    <row r="8" spans="1:9" x14ac:dyDescent="0.2">
      <c r="A8" s="104"/>
      <c r="C8" s="46"/>
    </row>
    <row r="9" spans="1:9" x14ac:dyDescent="0.2">
      <c r="A9" s="190"/>
      <c r="B9" s="190"/>
      <c r="C9" s="190"/>
      <c r="D9" s="190"/>
      <c r="E9" s="190"/>
      <c r="F9" s="190"/>
      <c r="G9" s="190"/>
      <c r="H9" s="190"/>
      <c r="I9" s="190"/>
    </row>
    <row r="10" spans="1:9" ht="21" customHeight="1" x14ac:dyDescent="0.3">
      <c r="A10" s="193" t="s">
        <v>62</v>
      </c>
      <c r="B10" s="190"/>
      <c r="C10" s="190"/>
      <c r="D10" s="190"/>
      <c r="E10" s="190"/>
      <c r="F10" s="190"/>
      <c r="G10" s="190"/>
      <c r="H10" s="190"/>
      <c r="I10" s="190"/>
    </row>
    <row r="11" spans="1:9" ht="12" customHeight="1" x14ac:dyDescent="0.2">
      <c r="A11" s="194" t="s">
        <v>82</v>
      </c>
    </row>
    <row r="14" spans="1:9" ht="21" thickBot="1" x14ac:dyDescent="0.35">
      <c r="A14" s="193" t="s">
        <v>86</v>
      </c>
    </row>
    <row r="15" spans="1:9" ht="13.5" thickBot="1" x14ac:dyDescent="0.25">
      <c r="A15" s="196" t="s">
        <v>83</v>
      </c>
      <c r="B15" s="197" t="s">
        <v>15</v>
      </c>
      <c r="C15" s="197" t="s">
        <v>84</v>
      </c>
      <c r="D15" s="198" t="s">
        <v>13</v>
      </c>
    </row>
    <row r="16" spans="1:9" ht="38.25" x14ac:dyDescent="0.2">
      <c r="A16" s="199">
        <v>1</v>
      </c>
      <c r="B16" s="391" t="s">
        <v>188</v>
      </c>
      <c r="C16" s="394" t="s">
        <v>217</v>
      </c>
      <c r="D16" s="395">
        <v>42808</v>
      </c>
    </row>
    <row r="17" spans="1:4" x14ac:dyDescent="0.2">
      <c r="A17" s="200"/>
      <c r="B17" s="201"/>
      <c r="C17" s="202"/>
      <c r="D17" s="203"/>
    </row>
    <row r="18" spans="1:4" x14ac:dyDescent="0.2">
      <c r="A18" s="200"/>
      <c r="B18" s="202"/>
      <c r="C18" s="202"/>
      <c r="D18" s="204"/>
    </row>
    <row r="19" spans="1:4" x14ac:dyDescent="0.2">
      <c r="A19" s="200"/>
      <c r="B19" s="202"/>
      <c r="C19" s="202"/>
      <c r="D19" s="204"/>
    </row>
    <row r="20" spans="1:4" x14ac:dyDescent="0.2">
      <c r="A20" s="200"/>
      <c r="B20" s="202"/>
      <c r="C20" s="202"/>
      <c r="D20" s="204"/>
    </row>
    <row r="21" spans="1:4" ht="13.5" thickBot="1" x14ac:dyDescent="0.25">
      <c r="A21" s="205"/>
      <c r="B21" s="206"/>
      <c r="C21" s="206"/>
      <c r="D21" s="207"/>
    </row>
    <row r="22" spans="1:4" x14ac:dyDescent="0.2">
      <c r="A22" s="98"/>
    </row>
  </sheetData>
  <mergeCells count="1">
    <mergeCell ref="B1:D1"/>
  </mergeCells>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4097" r:id="rId4">
          <objectPr defaultSize="0" autoPict="0" r:id="rId5">
            <anchor moveWithCells="1">
              <from>
                <xdr:col>0</xdr:col>
                <xdr:colOff>66675</xdr:colOff>
                <xdr:row>0</xdr:row>
                <xdr:rowOff>0</xdr:rowOff>
              </from>
              <to>
                <xdr:col>0</xdr:col>
                <xdr:colOff>1009650</xdr:colOff>
                <xdr:row>0</xdr:row>
                <xdr:rowOff>257175</xdr:rowOff>
              </to>
            </anchor>
          </objectPr>
        </oleObject>
      </mc:Choice>
      <mc:Fallback>
        <oleObject progId="Word.Document.8"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G25"/>
  <sheetViews>
    <sheetView showGridLines="0" tabSelected="1" zoomScale="130" zoomScaleNormal="130" zoomScaleSheetLayoutView="100" workbookViewId="0">
      <selection activeCell="C9" sqref="C9"/>
    </sheetView>
  </sheetViews>
  <sheetFormatPr defaultRowHeight="12.75" x14ac:dyDescent="0.2"/>
  <cols>
    <col min="1" max="1" width="6.85546875" customWidth="1"/>
    <col min="2" max="2" width="24" customWidth="1"/>
    <col min="3" max="3" width="36.7109375" customWidth="1"/>
    <col min="4" max="4" width="10.5703125" customWidth="1"/>
    <col min="5" max="5" width="18.85546875" bestFit="1" customWidth="1"/>
    <col min="6" max="6" width="9.7109375" customWidth="1"/>
  </cols>
  <sheetData>
    <row r="1" spans="1:7" s="307" customFormat="1" ht="15.75" customHeight="1" x14ac:dyDescent="0.25">
      <c r="A1" s="306"/>
      <c r="B1" s="306"/>
      <c r="C1" s="306" t="s">
        <v>159</v>
      </c>
    </row>
    <row r="3" spans="1:7" x14ac:dyDescent="0.2">
      <c r="B3" s="383" t="s">
        <v>176</v>
      </c>
      <c r="C3" s="380" t="s">
        <v>186</v>
      </c>
    </row>
    <row r="4" spans="1:7" x14ac:dyDescent="0.2">
      <c r="B4" s="383" t="s">
        <v>171</v>
      </c>
      <c r="C4" s="380" t="s">
        <v>187</v>
      </c>
    </row>
    <row r="5" spans="1:7" x14ac:dyDescent="0.2">
      <c r="B5" s="383" t="s">
        <v>172</v>
      </c>
      <c r="C5" s="380" t="s">
        <v>190</v>
      </c>
    </row>
    <row r="6" spans="1:7" ht="54.75" customHeight="1" x14ac:dyDescent="0.2">
      <c r="B6" s="383" t="s">
        <v>173</v>
      </c>
      <c r="C6" s="392" t="s">
        <v>191</v>
      </c>
    </row>
    <row r="7" spans="1:7" x14ac:dyDescent="0.2">
      <c r="B7" s="383" t="s">
        <v>177</v>
      </c>
      <c r="C7" s="396" t="s">
        <v>218</v>
      </c>
    </row>
    <row r="8" spans="1:7" x14ac:dyDescent="0.2">
      <c r="B8" s="383" t="s">
        <v>174</v>
      </c>
      <c r="C8" s="381" t="s">
        <v>219</v>
      </c>
    </row>
    <row r="9" spans="1:7" ht="70.5" customHeight="1" x14ac:dyDescent="0.2">
      <c r="B9" s="383" t="s">
        <v>179</v>
      </c>
      <c r="C9" s="389" t="s">
        <v>192</v>
      </c>
    </row>
    <row r="10" spans="1:7" x14ac:dyDescent="0.2">
      <c r="B10" s="383" t="s">
        <v>175</v>
      </c>
      <c r="C10" s="393">
        <v>42808</v>
      </c>
      <c r="D10" s="118"/>
    </row>
    <row r="11" spans="1:7" x14ac:dyDescent="0.2">
      <c r="B11" s="121"/>
      <c r="C11" s="117"/>
      <c r="D11" s="122"/>
      <c r="E11" s="116"/>
      <c r="F11" s="116"/>
      <c r="G11" s="116"/>
    </row>
    <row r="12" spans="1:7" x14ac:dyDescent="0.2">
      <c r="B12" s="315" t="s">
        <v>22</v>
      </c>
      <c r="C12" s="161"/>
      <c r="D12" s="123"/>
      <c r="G12" s="116"/>
    </row>
    <row r="13" spans="1:7" x14ac:dyDescent="0.2">
      <c r="B13" s="315" t="s">
        <v>23</v>
      </c>
      <c r="C13" s="390" t="s">
        <v>187</v>
      </c>
      <c r="D13" s="123"/>
      <c r="G13" s="116"/>
    </row>
    <row r="14" spans="1:7" x14ac:dyDescent="0.2">
      <c r="B14" s="119" t="s">
        <v>2</v>
      </c>
      <c r="C14" s="316"/>
      <c r="D14" s="123"/>
      <c r="G14" s="116"/>
    </row>
    <row r="15" spans="1:7" ht="12.75" customHeight="1" x14ac:dyDescent="0.2">
      <c r="B15" s="383" t="s">
        <v>178</v>
      </c>
      <c r="C15" s="382"/>
      <c r="D15" s="123"/>
      <c r="G15" s="116"/>
    </row>
    <row r="16" spans="1:7" x14ac:dyDescent="0.2">
      <c r="B16" s="42"/>
      <c r="C16" s="42"/>
      <c r="G16" s="116"/>
    </row>
    <row r="17" spans="2:6" x14ac:dyDescent="0.2">
      <c r="B17" s="42"/>
      <c r="C17" s="42"/>
    </row>
    <row r="18" spans="2:6" x14ac:dyDescent="0.2">
      <c r="B18" s="308" t="s">
        <v>160</v>
      </c>
      <c r="C18" s="42"/>
    </row>
    <row r="19" spans="2:6" x14ac:dyDescent="0.2">
      <c r="B19" s="309"/>
      <c r="C19" s="310"/>
      <c r="F19" s="45"/>
    </row>
    <row r="20" spans="2:6" x14ac:dyDescent="0.2">
      <c r="B20" s="311"/>
      <c r="C20" s="312"/>
      <c r="E20" s="116"/>
    </row>
    <row r="21" spans="2:6" x14ac:dyDescent="0.2">
      <c r="B21" s="311"/>
      <c r="C21" s="312"/>
      <c r="E21" s="116"/>
    </row>
    <row r="22" spans="2:6" x14ac:dyDescent="0.2">
      <c r="B22" s="313"/>
      <c r="C22" s="314"/>
      <c r="E22" s="116"/>
    </row>
    <row r="23" spans="2:6" x14ac:dyDescent="0.2">
      <c r="E23" s="116"/>
    </row>
    <row r="24" spans="2:6" x14ac:dyDescent="0.2">
      <c r="E24" s="116"/>
    </row>
    <row r="25" spans="2:6" x14ac:dyDescent="0.2">
      <c r="E25" s="116"/>
    </row>
  </sheetData>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9217" r:id="rId4">
          <objectPr defaultSize="0" r:id="rId5">
            <anchor moveWithCells="1">
              <from>
                <xdr:col>0</xdr:col>
                <xdr:colOff>19050</xdr:colOff>
                <xdr:row>0</xdr:row>
                <xdr:rowOff>0</xdr:rowOff>
              </from>
              <to>
                <xdr:col>1</xdr:col>
                <xdr:colOff>742950</xdr:colOff>
                <xdr:row>1</xdr:row>
                <xdr:rowOff>142875</xdr:rowOff>
              </to>
            </anchor>
          </objectPr>
        </oleObject>
      </mc:Choice>
      <mc:Fallback>
        <oleObject progId="Word.Document.8" shapeId="9217" r:id="rId4"/>
      </mc:Fallback>
    </mc:AlternateContent>
  </oleObjects>
  <controls>
    <mc:AlternateContent xmlns:mc="http://schemas.openxmlformats.org/markup-compatibility/2006">
      <mc:Choice Requires="x14">
        <control shapeId="9219" r:id="rId6" name="CheckBox1">
          <controlPr defaultSize="0" autoLine="0" r:id="rId7">
            <anchor>
              <from>
                <xdr:col>1</xdr:col>
                <xdr:colOff>57150</xdr:colOff>
                <xdr:row>15</xdr:row>
                <xdr:rowOff>142875</xdr:rowOff>
              </from>
              <to>
                <xdr:col>1</xdr:col>
                <xdr:colOff>1390650</xdr:colOff>
                <xdr:row>18</xdr:row>
                <xdr:rowOff>47625</xdr:rowOff>
              </to>
            </anchor>
          </controlPr>
        </control>
      </mc:Choice>
      <mc:Fallback>
        <control shapeId="9219" r:id="rId6" name="CheckBox1"/>
      </mc:Fallback>
    </mc:AlternateContent>
    <mc:AlternateContent xmlns:mc="http://schemas.openxmlformats.org/markup-compatibility/2006">
      <mc:Choice Requires="x14">
        <control shapeId="9220" r:id="rId8" name="CheckBox2">
          <controlPr defaultSize="0" autoLine="0" r:id="rId9">
            <anchor>
              <from>
                <xdr:col>2</xdr:col>
                <xdr:colOff>628650</xdr:colOff>
                <xdr:row>15</xdr:row>
                <xdr:rowOff>123825</xdr:rowOff>
              </from>
              <to>
                <xdr:col>2</xdr:col>
                <xdr:colOff>2057400</xdr:colOff>
                <xdr:row>18</xdr:row>
                <xdr:rowOff>28575</xdr:rowOff>
              </to>
            </anchor>
          </controlPr>
        </control>
      </mc:Choice>
      <mc:Fallback>
        <control shapeId="9220" r:id="rId8" name="Check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BJ373"/>
  <sheetViews>
    <sheetView showGridLines="0" zoomScale="70" zoomScaleNormal="70" zoomScaleSheetLayoutView="100" workbookViewId="0">
      <selection activeCell="G16" sqref="G16"/>
    </sheetView>
  </sheetViews>
  <sheetFormatPr defaultColWidth="11.42578125" defaultRowHeight="12.75" x14ac:dyDescent="0.2"/>
  <cols>
    <col min="1" max="4" width="2.7109375" customWidth="1"/>
    <col min="5" max="5" width="0.5703125" customWidth="1"/>
    <col min="6" max="6" width="12" customWidth="1"/>
    <col min="7" max="7" width="32.5703125" style="10" customWidth="1"/>
    <col min="8" max="8" width="2.7109375" customWidth="1"/>
    <col min="9" max="9" width="12.5703125" customWidth="1"/>
    <col min="10" max="10" width="12.42578125" hidden="1" customWidth="1"/>
    <col min="11" max="11" width="27.7109375" customWidth="1"/>
    <col min="12" max="12" width="11.85546875" customWidth="1"/>
    <col min="13" max="13" width="11.5703125" hidden="1" customWidth="1"/>
    <col min="14" max="14" width="23" customWidth="1"/>
    <col min="15" max="15" width="23.28515625" customWidth="1"/>
    <col min="16" max="16" width="6.42578125" hidden="1" customWidth="1"/>
    <col min="17" max="17" width="40.7109375" bestFit="1" customWidth="1"/>
  </cols>
  <sheetData>
    <row r="1" spans="1:62" ht="15.75" customHeight="1" x14ac:dyDescent="0.25">
      <c r="G1" s="334" t="s">
        <v>29</v>
      </c>
      <c r="H1" s="334"/>
      <c r="I1" s="334"/>
      <c r="J1" s="334"/>
      <c r="K1" s="334"/>
      <c r="L1" s="334"/>
      <c r="M1" s="334"/>
      <c r="N1" s="334"/>
      <c r="O1" s="334"/>
    </row>
    <row r="2" spans="1:62" ht="15.75" customHeight="1" x14ac:dyDescent="0.25">
      <c r="G2" s="97"/>
      <c r="H2" s="97"/>
      <c r="I2" s="97"/>
      <c r="J2" s="97"/>
      <c r="K2" s="97"/>
      <c r="L2" s="97"/>
      <c r="M2" s="97"/>
      <c r="N2" s="97"/>
      <c r="O2" s="97"/>
    </row>
    <row r="3" spans="1:62" x14ac:dyDescent="0.2">
      <c r="A3" s="1"/>
      <c r="B3" s="1"/>
      <c r="C3" s="1"/>
      <c r="D3" s="1"/>
      <c r="E3" s="1"/>
      <c r="F3" s="1"/>
      <c r="G3" s="8"/>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s="45" customFormat="1" ht="63" x14ac:dyDescent="0.2">
      <c r="A4" s="410" t="s">
        <v>0</v>
      </c>
      <c r="B4" s="411"/>
      <c r="C4" s="411"/>
      <c r="D4" s="411"/>
      <c r="E4" s="411"/>
      <c r="F4" s="412"/>
      <c r="G4" s="68" t="s">
        <v>30</v>
      </c>
      <c r="H4" s="69"/>
      <c r="I4" s="407" t="s">
        <v>2</v>
      </c>
      <c r="J4" s="408"/>
      <c r="K4" s="409"/>
      <c r="L4" s="413" t="s">
        <v>44</v>
      </c>
      <c r="M4" s="413"/>
      <c r="N4" s="413"/>
      <c r="O4" s="413"/>
      <c r="P4" s="185"/>
      <c r="Q4" s="95"/>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row>
    <row r="5" spans="1:62" x14ac:dyDescent="0.2">
      <c r="A5" s="4"/>
      <c r="B5" s="4"/>
      <c r="C5" s="4"/>
      <c r="D5" s="4"/>
      <c r="E5" s="4"/>
      <c r="F5" s="4"/>
      <c r="G5" s="8"/>
      <c r="H5" s="5"/>
      <c r="I5" s="1"/>
      <c r="J5" s="1"/>
      <c r="K5" s="1"/>
      <c r="L5" s="1"/>
      <c r="M5" s="1"/>
      <c r="N5" s="1"/>
      <c r="O5" s="1"/>
      <c r="P5" s="1"/>
      <c r="Q5" s="1"/>
      <c r="R5" s="1"/>
      <c r="S5" s="1"/>
      <c r="T5" s="1"/>
      <c r="U5" s="1"/>
      <c r="V5" s="1"/>
      <c r="W5" s="1"/>
      <c r="X5" s="1"/>
      <c r="Y5" s="1"/>
      <c r="Z5" s="1"/>
      <c r="AA5" s="1"/>
      <c r="AB5" s="1"/>
      <c r="AC5" s="1"/>
      <c r="AD5" s="1"/>
      <c r="AE5" s="1"/>
      <c r="AF5" s="1"/>
      <c r="AG5" s="1"/>
      <c r="AH5" s="1"/>
    </row>
    <row r="6" spans="1:62" ht="15.75" x14ac:dyDescent="0.25">
      <c r="A6" s="71" t="s">
        <v>24</v>
      </c>
      <c r="B6" s="72"/>
      <c r="C6" s="72"/>
      <c r="D6" s="72"/>
      <c r="E6" s="72"/>
      <c r="F6" s="73"/>
      <c r="G6" s="74"/>
      <c r="H6" s="3"/>
      <c r="I6" s="18"/>
      <c r="J6" s="18"/>
      <c r="K6" s="18"/>
      <c r="L6" s="177" t="s">
        <v>3</v>
      </c>
      <c r="M6" s="177"/>
      <c r="N6" s="177"/>
      <c r="O6" s="177"/>
      <c r="P6" s="177"/>
      <c r="Q6" s="17"/>
      <c r="R6" s="1"/>
      <c r="S6" s="1"/>
      <c r="T6" s="1"/>
      <c r="U6" s="1"/>
      <c r="V6" s="1"/>
      <c r="W6" s="1"/>
      <c r="X6" s="1"/>
      <c r="Y6" s="1"/>
      <c r="Z6" s="1"/>
      <c r="AA6" s="1"/>
      <c r="AB6" s="1"/>
      <c r="AC6" s="1"/>
      <c r="AD6" s="1"/>
      <c r="AE6" s="1"/>
      <c r="AF6" s="1"/>
      <c r="AG6" s="1"/>
      <c r="AH6" s="1"/>
    </row>
    <row r="7" spans="1:62" ht="15.75" x14ac:dyDescent="0.25">
      <c r="A7" s="71" t="s">
        <v>22</v>
      </c>
      <c r="B7" s="72"/>
      <c r="C7" s="72"/>
      <c r="D7" s="72"/>
      <c r="E7" s="72"/>
      <c r="F7" s="73"/>
      <c r="G7" s="74"/>
      <c r="H7" s="3"/>
      <c r="I7" s="18"/>
      <c r="J7" s="18"/>
      <c r="K7" s="18"/>
      <c r="L7" s="177" t="s">
        <v>3</v>
      </c>
      <c r="M7" s="177"/>
      <c r="N7" s="177"/>
      <c r="O7" s="177"/>
      <c r="P7" s="177"/>
      <c r="Q7" s="17"/>
      <c r="R7" s="1"/>
      <c r="S7" s="1"/>
      <c r="T7" s="1"/>
      <c r="U7" s="1"/>
      <c r="V7" s="1"/>
      <c r="W7" s="1"/>
      <c r="X7" s="1"/>
      <c r="Y7" s="1"/>
      <c r="Z7" s="1"/>
      <c r="AA7" s="1"/>
      <c r="AB7" s="1"/>
      <c r="AC7" s="1"/>
      <c r="AD7" s="1"/>
      <c r="AE7" s="1"/>
      <c r="AF7" s="1"/>
      <c r="AG7" s="1"/>
      <c r="AH7" s="1"/>
    </row>
    <row r="8" spans="1:62" ht="15.75" x14ac:dyDescent="0.25">
      <c r="A8" s="53" t="s">
        <v>23</v>
      </c>
      <c r="B8" s="54"/>
      <c r="C8" s="54"/>
      <c r="D8" s="54"/>
      <c r="E8" s="54"/>
      <c r="F8" s="55"/>
      <c r="G8" s="75"/>
      <c r="H8" s="3"/>
      <c r="I8" s="18"/>
      <c r="J8" s="18"/>
      <c r="K8" s="18"/>
      <c r="L8" s="414" t="s">
        <v>3</v>
      </c>
      <c r="M8" s="414"/>
      <c r="N8" s="414"/>
      <c r="O8" s="414"/>
      <c r="P8" s="414"/>
      <c r="Q8" s="17"/>
      <c r="R8" s="1"/>
      <c r="S8" s="1"/>
      <c r="T8" s="1"/>
      <c r="U8" s="1"/>
      <c r="V8" s="1"/>
      <c r="W8" s="1"/>
      <c r="X8" s="1"/>
      <c r="Y8" s="1"/>
      <c r="Z8" s="1"/>
      <c r="AA8" s="1"/>
      <c r="AB8" s="1"/>
      <c r="AC8" s="1"/>
      <c r="AD8" s="1"/>
      <c r="AE8" s="1"/>
      <c r="AF8" s="1"/>
      <c r="AG8" s="1"/>
      <c r="AH8" s="1"/>
    </row>
    <row r="9" spans="1:62" ht="15.75" x14ac:dyDescent="0.25">
      <c r="A9" s="49"/>
      <c r="B9" s="49"/>
      <c r="C9" s="49"/>
      <c r="D9" s="49"/>
      <c r="E9" s="49"/>
      <c r="F9" s="49"/>
      <c r="G9" s="48"/>
      <c r="H9" s="3"/>
      <c r="I9" s="422" t="s">
        <v>19</v>
      </c>
      <c r="J9" s="423"/>
      <c r="K9" s="424"/>
      <c r="L9" s="425" t="s">
        <v>20</v>
      </c>
      <c r="M9" s="425"/>
      <c r="N9" s="425"/>
      <c r="O9" s="425"/>
      <c r="P9" s="186"/>
      <c r="Q9" s="17"/>
      <c r="R9" s="1"/>
      <c r="S9" s="1"/>
      <c r="T9" s="1"/>
      <c r="U9" s="1"/>
      <c r="V9" s="1"/>
      <c r="W9" s="1"/>
      <c r="X9" s="1"/>
      <c r="Y9" s="1"/>
      <c r="Z9" s="1"/>
      <c r="AA9" s="1"/>
      <c r="AB9" s="1"/>
      <c r="AC9" s="1"/>
      <c r="AD9" s="1"/>
      <c r="AE9" s="1"/>
      <c r="AF9" s="1"/>
      <c r="AG9" s="1"/>
      <c r="AH9" s="1"/>
    </row>
    <row r="10" spans="1:62" ht="15.75" x14ac:dyDescent="0.25">
      <c r="A10" s="18"/>
      <c r="B10" s="50"/>
      <c r="C10" s="50"/>
      <c r="D10" s="50"/>
      <c r="E10" s="50"/>
      <c r="F10" s="50"/>
      <c r="G10" s="9"/>
      <c r="H10" s="1"/>
      <c r="I10" s="422" t="s">
        <v>9</v>
      </c>
      <c r="J10" s="423"/>
      <c r="K10" s="424"/>
      <c r="L10" s="426" t="s">
        <v>31</v>
      </c>
      <c r="M10" s="426"/>
      <c r="N10" s="426"/>
      <c r="O10" s="426"/>
      <c r="P10" s="187"/>
      <c r="Q10" s="96"/>
      <c r="R10" s="1"/>
      <c r="S10" s="1"/>
      <c r="T10" s="1"/>
      <c r="U10" s="1"/>
      <c r="V10" s="1"/>
      <c r="W10" s="1"/>
      <c r="X10" s="1"/>
      <c r="Y10" s="1"/>
      <c r="Z10" s="1"/>
      <c r="AA10" s="1"/>
      <c r="AB10" s="1"/>
      <c r="AC10" s="1"/>
      <c r="AD10" s="1"/>
      <c r="AE10" s="1"/>
      <c r="AF10" s="1"/>
      <c r="AG10" s="1"/>
      <c r="AH10" s="1"/>
    </row>
    <row r="11" spans="1:62" ht="16.5" thickBot="1" x14ac:dyDescent="0.3">
      <c r="A11" s="7"/>
      <c r="B11" s="6"/>
      <c r="C11" s="6"/>
      <c r="D11" s="6"/>
      <c r="E11" s="6"/>
      <c r="F11" s="6"/>
      <c r="G11" s="9"/>
      <c r="H11" s="1"/>
      <c r="I11" s="18"/>
      <c r="J11" s="18"/>
      <c r="K11" s="18"/>
      <c r="L11" s="19"/>
      <c r="M11" s="19"/>
      <c r="N11" s="19"/>
      <c r="O11" s="19"/>
      <c r="P11" s="17"/>
      <c r="Q11" s="17"/>
      <c r="R11" s="1"/>
      <c r="S11" s="1"/>
      <c r="T11" s="1"/>
      <c r="U11" s="1"/>
      <c r="V11" s="1"/>
      <c r="W11" s="1"/>
      <c r="X11" s="1"/>
      <c r="Y11" s="1"/>
      <c r="Z11" s="1"/>
      <c r="AA11" s="1"/>
      <c r="AB11" s="1"/>
      <c r="AC11" s="1"/>
      <c r="AD11" s="1"/>
      <c r="AE11" s="1"/>
      <c r="AF11" s="1"/>
      <c r="AG11" s="1"/>
      <c r="AH11" s="1"/>
    </row>
    <row r="12" spans="1:62" ht="16.5" thickBot="1" x14ac:dyDescent="0.3">
      <c r="A12" s="415" t="s">
        <v>9</v>
      </c>
      <c r="B12" s="416"/>
      <c r="C12" s="416"/>
      <c r="D12" s="416"/>
      <c r="E12" s="416"/>
      <c r="F12" s="417"/>
      <c r="G12" s="76" t="s">
        <v>32</v>
      </c>
      <c r="H12" s="1"/>
      <c r="I12" s="418" t="s">
        <v>8</v>
      </c>
      <c r="J12" s="419"/>
      <c r="K12" s="419"/>
      <c r="L12" s="420"/>
      <c r="M12" s="420"/>
      <c r="N12" s="420"/>
      <c r="O12" s="420"/>
      <c r="P12" s="420"/>
      <c r="Q12" s="421"/>
      <c r="R12" s="1"/>
      <c r="S12" s="1"/>
      <c r="T12" s="1"/>
      <c r="U12" s="1"/>
      <c r="V12" s="1"/>
      <c r="W12" s="1"/>
      <c r="X12" s="1"/>
      <c r="Y12" s="1"/>
      <c r="Z12" s="1"/>
      <c r="AA12" s="1"/>
      <c r="AB12" s="1"/>
      <c r="AC12" s="1"/>
      <c r="AD12" s="1"/>
      <c r="AE12" s="1"/>
      <c r="AF12" s="1"/>
      <c r="AG12" s="1"/>
      <c r="AH12" s="1"/>
    </row>
    <row r="13" spans="1:62" ht="15.75" customHeight="1" x14ac:dyDescent="0.2">
      <c r="A13" s="431" t="s">
        <v>1</v>
      </c>
      <c r="B13" s="432"/>
      <c r="C13" s="435" t="s">
        <v>10</v>
      </c>
      <c r="D13" s="436"/>
      <c r="E13" s="436"/>
      <c r="F13" s="436"/>
      <c r="G13" s="461" t="s">
        <v>4</v>
      </c>
      <c r="H13" s="1"/>
      <c r="I13" s="467" t="s">
        <v>33</v>
      </c>
      <c r="J13" s="468"/>
      <c r="K13" s="469"/>
      <c r="L13" s="467" t="s">
        <v>34</v>
      </c>
      <c r="M13" s="468"/>
      <c r="N13" s="469"/>
      <c r="O13" s="467" t="s">
        <v>35</v>
      </c>
      <c r="P13" s="468"/>
      <c r="Q13" s="469"/>
      <c r="R13" s="1"/>
      <c r="S13" s="1"/>
      <c r="T13" s="1"/>
      <c r="U13" s="1"/>
      <c r="V13" s="1"/>
      <c r="W13" s="1"/>
      <c r="X13" s="1"/>
      <c r="Y13" s="1"/>
      <c r="Z13" s="1"/>
      <c r="AA13" s="1"/>
      <c r="AB13" s="1"/>
      <c r="AC13" s="1"/>
      <c r="AD13" s="1"/>
      <c r="AE13" s="1"/>
      <c r="AF13" s="1"/>
      <c r="AG13" s="1"/>
      <c r="AH13" s="1"/>
    </row>
    <row r="14" spans="1:62" ht="69.75" customHeight="1" thickBot="1" x14ac:dyDescent="0.3">
      <c r="A14" s="433"/>
      <c r="B14" s="434"/>
      <c r="C14" s="437"/>
      <c r="D14" s="437"/>
      <c r="E14" s="437"/>
      <c r="F14" s="437"/>
      <c r="G14" s="462"/>
      <c r="H14" s="2"/>
      <c r="I14" s="470"/>
      <c r="J14" s="471"/>
      <c r="K14" s="472"/>
      <c r="L14" s="470"/>
      <c r="M14" s="471"/>
      <c r="N14" s="472"/>
      <c r="O14" s="470"/>
      <c r="P14" s="471"/>
      <c r="Q14" s="472"/>
      <c r="R14" s="1"/>
      <c r="S14" s="1"/>
      <c r="T14" s="1"/>
      <c r="U14" s="1"/>
      <c r="V14" s="1"/>
      <c r="W14" s="1"/>
      <c r="X14" s="1"/>
      <c r="Y14" s="1"/>
      <c r="Z14" s="1"/>
      <c r="AA14" s="1"/>
      <c r="AB14" s="1"/>
      <c r="AC14" s="1"/>
      <c r="AD14" s="1"/>
      <c r="AE14" s="1"/>
      <c r="AF14" s="1"/>
      <c r="AG14" s="1"/>
      <c r="AH14" s="1"/>
    </row>
    <row r="15" spans="1:62" ht="46.5" customHeight="1" thickBot="1" x14ac:dyDescent="0.3">
      <c r="A15" s="58"/>
      <c r="B15" s="56"/>
      <c r="C15" s="438"/>
      <c r="D15" s="439"/>
      <c r="E15" s="439"/>
      <c r="F15" s="440"/>
      <c r="G15" s="57"/>
      <c r="H15" s="2"/>
      <c r="I15" s="77" t="s">
        <v>28</v>
      </c>
      <c r="J15" s="78" t="s">
        <v>36</v>
      </c>
      <c r="K15" s="93" t="s">
        <v>49</v>
      </c>
      <c r="L15" s="77" t="s">
        <v>28</v>
      </c>
      <c r="M15" s="78" t="s">
        <v>36</v>
      </c>
      <c r="N15" s="93" t="s">
        <v>49</v>
      </c>
      <c r="O15" s="77" t="s">
        <v>28</v>
      </c>
      <c r="P15" s="79" t="s">
        <v>36</v>
      </c>
      <c r="Q15" s="93" t="s">
        <v>49</v>
      </c>
      <c r="R15" s="1"/>
      <c r="S15" s="1"/>
      <c r="T15" s="1"/>
      <c r="U15" s="1"/>
      <c r="V15" s="1"/>
      <c r="W15" s="1"/>
      <c r="X15" s="1"/>
      <c r="Y15" s="1"/>
      <c r="Z15" s="1"/>
      <c r="AA15" s="1"/>
      <c r="AB15" s="1"/>
      <c r="AC15" s="1"/>
      <c r="AD15" s="1"/>
      <c r="AE15" s="1"/>
      <c r="AF15" s="1"/>
      <c r="AG15" s="1"/>
      <c r="AH15" s="1"/>
    </row>
    <row r="16" spans="1:62" ht="164.25" customHeight="1" x14ac:dyDescent="0.25">
      <c r="A16" s="427"/>
      <c r="B16" s="428"/>
      <c r="C16" s="429" t="s">
        <v>11</v>
      </c>
      <c r="D16" s="430"/>
      <c r="E16" s="430"/>
      <c r="F16" s="430"/>
      <c r="G16" s="25" t="s">
        <v>37</v>
      </c>
      <c r="H16" s="2"/>
      <c r="I16" s="24">
        <v>4</v>
      </c>
      <c r="J16" s="65">
        <f>I16*C16</f>
        <v>12</v>
      </c>
      <c r="K16" s="176" t="s">
        <v>56</v>
      </c>
      <c r="L16" s="178">
        <v>3</v>
      </c>
      <c r="M16" s="66">
        <f>L16*C16</f>
        <v>9</v>
      </c>
      <c r="N16" s="176"/>
      <c r="O16" s="178">
        <v>2</v>
      </c>
      <c r="P16" s="66">
        <f>O16*C16</f>
        <v>6</v>
      </c>
      <c r="Q16" s="176" t="s">
        <v>57</v>
      </c>
      <c r="R16" s="1"/>
      <c r="S16" s="1"/>
      <c r="T16" s="1"/>
      <c r="U16" s="1"/>
      <c r="V16" s="1"/>
      <c r="W16" s="1"/>
      <c r="X16" s="1"/>
      <c r="Y16" s="1"/>
      <c r="Z16" s="1"/>
      <c r="AA16" s="1"/>
      <c r="AB16" s="1"/>
      <c r="AC16" s="1"/>
      <c r="AD16" s="1"/>
      <c r="AE16" s="1"/>
      <c r="AF16" s="1"/>
      <c r="AG16" s="1"/>
      <c r="AH16" s="1"/>
    </row>
    <row r="17" spans="1:34" ht="216" customHeight="1" x14ac:dyDescent="0.25">
      <c r="A17" s="427"/>
      <c r="B17" s="428"/>
      <c r="C17" s="429" t="s">
        <v>11</v>
      </c>
      <c r="D17" s="430"/>
      <c r="E17" s="430"/>
      <c r="F17" s="430"/>
      <c r="G17" s="25" t="s">
        <v>38</v>
      </c>
      <c r="H17" s="2"/>
      <c r="I17" s="24">
        <v>3</v>
      </c>
      <c r="J17" s="65">
        <f>I17*C17</f>
        <v>9</v>
      </c>
      <c r="K17" s="67" t="s">
        <v>58</v>
      </c>
      <c r="L17" s="179">
        <v>3</v>
      </c>
      <c r="M17" s="66">
        <f>L17*C17</f>
        <v>9</v>
      </c>
      <c r="N17" s="67" t="s">
        <v>51</v>
      </c>
      <c r="O17" s="179">
        <v>5</v>
      </c>
      <c r="P17" s="66">
        <f>O17*C17</f>
        <v>15</v>
      </c>
      <c r="Q17" s="173" t="s">
        <v>53</v>
      </c>
      <c r="R17" s="1"/>
      <c r="S17" s="1"/>
      <c r="T17" s="1"/>
      <c r="U17" s="1"/>
      <c r="V17" s="1"/>
      <c r="W17" s="1"/>
      <c r="X17" s="1"/>
      <c r="Y17" s="1"/>
      <c r="Z17" s="1"/>
      <c r="AA17" s="1"/>
      <c r="AB17" s="1"/>
      <c r="AC17" s="1"/>
      <c r="AD17" s="1"/>
      <c r="AE17" s="1"/>
      <c r="AF17" s="1"/>
      <c r="AG17" s="1"/>
      <c r="AH17" s="1"/>
    </row>
    <row r="18" spans="1:34" ht="99.75" x14ac:dyDescent="0.25">
      <c r="A18" s="427"/>
      <c r="B18" s="428"/>
      <c r="C18" s="429">
        <v>2</v>
      </c>
      <c r="D18" s="430"/>
      <c r="E18" s="430"/>
      <c r="F18" s="430"/>
      <c r="G18" s="25" t="s">
        <v>39</v>
      </c>
      <c r="H18" s="2"/>
      <c r="I18" s="24">
        <v>4</v>
      </c>
      <c r="J18" s="65">
        <f>I18*C18</f>
        <v>8</v>
      </c>
      <c r="K18" s="67" t="s">
        <v>50</v>
      </c>
      <c r="L18" s="179">
        <v>4</v>
      </c>
      <c r="M18" s="66">
        <f>L18*C18</f>
        <v>8</v>
      </c>
      <c r="N18" s="67" t="s">
        <v>52</v>
      </c>
      <c r="O18" s="179">
        <v>4</v>
      </c>
      <c r="P18" s="66">
        <f>O18*C18</f>
        <v>8</v>
      </c>
      <c r="Q18" s="173" t="s">
        <v>54</v>
      </c>
      <c r="R18" s="1"/>
      <c r="S18" s="1"/>
      <c r="T18" s="1"/>
      <c r="U18" s="1"/>
      <c r="V18" s="1"/>
      <c r="W18" s="1"/>
      <c r="X18" s="1"/>
      <c r="Y18" s="1"/>
      <c r="Z18" s="1"/>
      <c r="AA18" s="1"/>
      <c r="AB18" s="1"/>
      <c r="AC18" s="1"/>
      <c r="AD18" s="1"/>
      <c r="AE18" s="1"/>
      <c r="AF18" s="1"/>
      <c r="AG18" s="1"/>
      <c r="AH18" s="1"/>
    </row>
    <row r="19" spans="1:34" ht="51" customHeight="1" x14ac:dyDescent="0.25">
      <c r="A19" s="441"/>
      <c r="B19" s="442"/>
      <c r="C19" s="443">
        <v>2</v>
      </c>
      <c r="D19" s="444"/>
      <c r="E19" s="444"/>
      <c r="F19" s="445"/>
      <c r="G19" s="80" t="s">
        <v>40</v>
      </c>
      <c r="H19" s="2"/>
      <c r="I19" s="24">
        <v>5</v>
      </c>
      <c r="J19" s="65">
        <f>I19*C19</f>
        <v>10</v>
      </c>
      <c r="K19" s="67"/>
      <c r="L19" s="179">
        <v>5</v>
      </c>
      <c r="M19" s="66">
        <f>L19*C19</f>
        <v>10</v>
      </c>
      <c r="N19" s="67"/>
      <c r="O19" s="179">
        <v>2</v>
      </c>
      <c r="P19" s="66">
        <f>O19*C19</f>
        <v>4</v>
      </c>
      <c r="Q19" s="173" t="s">
        <v>55</v>
      </c>
      <c r="R19" s="1"/>
      <c r="S19" s="1"/>
      <c r="T19" s="1"/>
      <c r="U19" s="1"/>
      <c r="V19" s="1"/>
      <c r="W19" s="1"/>
      <c r="X19" s="1"/>
      <c r="Y19" s="1"/>
      <c r="Z19" s="1"/>
      <c r="AA19" s="1"/>
      <c r="AB19" s="1"/>
      <c r="AC19" s="1"/>
      <c r="AD19" s="1"/>
      <c r="AE19" s="1"/>
      <c r="AF19" s="1"/>
      <c r="AG19" s="1"/>
      <c r="AH19" s="1"/>
    </row>
    <row r="20" spans="1:34" ht="15.75" x14ac:dyDescent="0.25">
      <c r="A20" s="441"/>
      <c r="B20" s="442"/>
      <c r="C20" s="446"/>
      <c r="D20" s="447"/>
      <c r="E20" s="447"/>
      <c r="F20" s="448"/>
      <c r="G20" s="80"/>
      <c r="H20" s="2"/>
      <c r="I20" s="24"/>
      <c r="J20" s="60"/>
      <c r="K20" s="180"/>
      <c r="L20" s="179"/>
      <c r="M20" s="62"/>
      <c r="N20" s="173"/>
      <c r="O20" s="179"/>
      <c r="P20" s="62"/>
      <c r="Q20" s="173"/>
      <c r="R20" s="1"/>
      <c r="S20" s="1"/>
      <c r="T20" s="1"/>
      <c r="U20" s="1"/>
      <c r="V20" s="1"/>
      <c r="W20" s="1"/>
      <c r="X20" s="1"/>
      <c r="Y20" s="1"/>
      <c r="Z20" s="1"/>
      <c r="AA20" s="1"/>
      <c r="AB20" s="1"/>
      <c r="AC20" s="1"/>
      <c r="AD20" s="1"/>
      <c r="AE20" s="1"/>
      <c r="AF20" s="1"/>
      <c r="AG20" s="1"/>
      <c r="AH20" s="1"/>
    </row>
    <row r="21" spans="1:34" ht="15.75" x14ac:dyDescent="0.25">
      <c r="A21" s="441"/>
      <c r="B21" s="442"/>
      <c r="C21" s="446"/>
      <c r="D21" s="447"/>
      <c r="E21" s="447"/>
      <c r="F21" s="448"/>
      <c r="G21" s="80"/>
      <c r="H21" s="2"/>
      <c r="I21" s="24"/>
      <c r="J21" s="60"/>
      <c r="K21" s="180"/>
      <c r="L21" s="179"/>
      <c r="M21" s="62"/>
      <c r="N21" s="173"/>
      <c r="O21" s="179"/>
      <c r="P21" s="62"/>
      <c r="Q21" s="173"/>
      <c r="R21" s="1"/>
      <c r="S21" s="1"/>
      <c r="T21" s="1"/>
      <c r="U21" s="1"/>
      <c r="V21" s="1"/>
      <c r="W21" s="1"/>
      <c r="X21" s="1"/>
      <c r="Y21" s="1"/>
      <c r="Z21" s="1"/>
      <c r="AA21" s="1"/>
      <c r="AB21" s="1"/>
      <c r="AC21" s="1"/>
      <c r="AD21" s="1"/>
      <c r="AE21" s="1"/>
      <c r="AF21" s="1"/>
      <c r="AG21" s="1"/>
      <c r="AH21" s="1"/>
    </row>
    <row r="22" spans="1:34" ht="16.5" thickBot="1" x14ac:dyDescent="0.3">
      <c r="A22" s="449"/>
      <c r="B22" s="450"/>
      <c r="C22" s="451" t="s">
        <v>3</v>
      </c>
      <c r="D22" s="452"/>
      <c r="E22" s="452"/>
      <c r="F22" s="452"/>
      <c r="G22" s="26"/>
      <c r="H22" s="2"/>
      <c r="I22" s="47"/>
      <c r="J22" s="61"/>
      <c r="K22" s="181"/>
      <c r="L22" s="182"/>
      <c r="M22" s="63"/>
      <c r="N22" s="183"/>
      <c r="O22" s="182"/>
      <c r="P22" s="63"/>
      <c r="Q22" s="174"/>
      <c r="R22" s="1"/>
      <c r="S22" s="1"/>
      <c r="T22" s="1"/>
      <c r="U22" s="1"/>
      <c r="V22" s="1"/>
      <c r="W22" s="1"/>
      <c r="X22" s="1"/>
      <c r="Y22" s="1"/>
      <c r="Z22" s="1"/>
      <c r="AA22" s="1"/>
      <c r="AB22" s="1"/>
      <c r="AC22" s="1"/>
      <c r="AD22" s="1"/>
      <c r="AE22" s="1"/>
      <c r="AF22" s="1"/>
      <c r="AG22" s="1"/>
      <c r="AH22" s="1"/>
    </row>
    <row r="23" spans="1:34" ht="16.5" hidden="1" thickBot="1" x14ac:dyDescent="0.3">
      <c r="A23" s="20"/>
      <c r="B23" s="21" t="s">
        <v>18</v>
      </c>
      <c r="C23" s="22"/>
      <c r="D23" s="21"/>
      <c r="E23" s="21"/>
      <c r="F23" s="21"/>
      <c r="H23" s="2"/>
      <c r="I23" s="85"/>
      <c r="J23" s="86">
        <v>39</v>
      </c>
      <c r="K23" s="92"/>
      <c r="L23" s="87"/>
      <c r="M23" s="64">
        <v>36</v>
      </c>
      <c r="N23" s="94"/>
      <c r="O23" s="87"/>
      <c r="P23" s="64">
        <v>33</v>
      </c>
      <c r="Q23" s="175"/>
      <c r="R23" s="1"/>
      <c r="S23" s="1"/>
      <c r="T23" s="1"/>
      <c r="U23" s="1"/>
      <c r="V23" s="1"/>
      <c r="W23" s="1"/>
      <c r="X23" s="1"/>
      <c r="Y23" s="1"/>
      <c r="Z23" s="1"/>
      <c r="AA23" s="1"/>
      <c r="AB23" s="1"/>
      <c r="AC23" s="1"/>
      <c r="AD23" s="1"/>
      <c r="AE23" s="1"/>
      <c r="AF23" s="1"/>
      <c r="AG23" s="1"/>
      <c r="AH23" s="1"/>
    </row>
    <row r="24" spans="1:34" ht="15.75" x14ac:dyDescent="0.25">
      <c r="A24" s="20"/>
      <c r="B24" s="20"/>
      <c r="C24" s="22"/>
      <c r="D24" s="21"/>
      <c r="E24" s="184" t="s">
        <v>76</v>
      </c>
      <c r="F24" s="21"/>
      <c r="G24" s="21"/>
      <c r="H24" s="2"/>
      <c r="I24" s="23"/>
      <c r="J24" s="23"/>
      <c r="K24" s="23"/>
      <c r="L24" s="14"/>
      <c r="M24" s="14"/>
      <c r="N24" s="14"/>
      <c r="O24" s="14"/>
      <c r="P24" s="14"/>
      <c r="Q24" s="14"/>
      <c r="R24" s="1"/>
      <c r="S24" s="1"/>
      <c r="T24" s="1"/>
      <c r="U24" s="1"/>
      <c r="V24" s="1"/>
      <c r="W24" s="1"/>
      <c r="X24" s="1"/>
      <c r="Y24" s="1"/>
      <c r="Z24" s="1"/>
      <c r="AA24" s="1"/>
      <c r="AB24" s="1"/>
      <c r="AC24" s="1"/>
      <c r="AD24" s="1"/>
      <c r="AE24" s="1"/>
      <c r="AF24" s="1"/>
      <c r="AG24" s="1"/>
      <c r="AH24" s="1"/>
    </row>
    <row r="25" spans="1:34" ht="15" x14ac:dyDescent="0.25">
      <c r="A25" s="453"/>
      <c r="B25" s="453"/>
      <c r="C25" s="463" t="s">
        <v>41</v>
      </c>
      <c r="D25" s="455"/>
      <c r="E25" s="464"/>
      <c r="F25" s="464"/>
      <c r="G25" s="464"/>
      <c r="H25" s="464"/>
      <c r="I25" s="464"/>
      <c r="J25" s="464"/>
      <c r="K25" s="464"/>
      <c r="L25" s="464"/>
      <c r="M25" s="464"/>
      <c r="N25" s="464"/>
      <c r="O25" s="464"/>
      <c r="P25" s="464"/>
      <c r="Q25" s="89"/>
      <c r="R25" s="1"/>
      <c r="S25" s="1"/>
      <c r="T25" s="1"/>
      <c r="U25" s="1"/>
      <c r="V25" s="1"/>
      <c r="W25" s="1"/>
      <c r="X25" s="1"/>
      <c r="Y25" s="1"/>
      <c r="Z25" s="1"/>
      <c r="AA25" s="1"/>
      <c r="AB25" s="1"/>
      <c r="AC25" s="1"/>
      <c r="AD25" s="1"/>
      <c r="AE25" s="1"/>
      <c r="AF25" s="1"/>
      <c r="AG25" s="1"/>
      <c r="AH25" s="1"/>
    </row>
    <row r="26" spans="1:34" ht="100.5" customHeight="1" x14ac:dyDescent="0.2">
      <c r="A26" s="453"/>
      <c r="B26" s="453"/>
      <c r="C26" s="466"/>
      <c r="D26" s="466"/>
      <c r="E26" s="466"/>
      <c r="F26" s="466"/>
      <c r="G26" s="465" t="s">
        <v>42</v>
      </c>
      <c r="H26" s="465"/>
      <c r="I26" s="465"/>
      <c r="J26" s="465"/>
      <c r="K26" s="465"/>
      <c r="L26" s="465"/>
      <c r="M26" s="465"/>
      <c r="N26" s="91"/>
      <c r="O26" s="81"/>
      <c r="P26" s="81"/>
      <c r="Q26" s="81"/>
      <c r="R26" s="1"/>
      <c r="S26" s="1"/>
      <c r="T26" s="1"/>
      <c r="U26" s="1"/>
      <c r="V26" s="1"/>
      <c r="W26" s="1"/>
      <c r="X26" s="1"/>
      <c r="Y26" s="1"/>
      <c r="Z26" s="1"/>
      <c r="AA26" s="1"/>
      <c r="AB26" s="1"/>
      <c r="AC26" s="1"/>
      <c r="AD26" s="1"/>
      <c r="AE26" s="1"/>
      <c r="AF26" s="1"/>
      <c r="AG26" s="1"/>
      <c r="AH26" s="1"/>
    </row>
    <row r="27" spans="1:34" ht="15" x14ac:dyDescent="0.25">
      <c r="A27" s="52"/>
      <c r="B27" s="52"/>
      <c r="C27" s="51" t="s">
        <v>21</v>
      </c>
      <c r="D27" s="51"/>
      <c r="E27" s="51"/>
      <c r="F27" s="51"/>
      <c r="G27" s="12"/>
      <c r="H27" s="13"/>
      <c r="I27" s="14"/>
      <c r="J27" s="14"/>
      <c r="K27" s="14"/>
      <c r="L27" s="14"/>
      <c r="M27" s="14"/>
      <c r="N27" s="14"/>
      <c r="O27" s="14"/>
      <c r="P27" s="14"/>
      <c r="Q27" s="14"/>
      <c r="R27" s="1"/>
      <c r="S27" s="1"/>
      <c r="T27" s="1"/>
      <c r="U27" s="1"/>
      <c r="V27" s="1"/>
      <c r="W27" s="1"/>
      <c r="X27" s="1"/>
      <c r="Y27" s="1"/>
      <c r="Z27" s="1"/>
      <c r="AA27" s="1"/>
      <c r="AB27" s="1"/>
      <c r="AC27" s="1"/>
      <c r="AD27" s="1"/>
      <c r="AE27" s="1"/>
      <c r="AF27" s="1"/>
      <c r="AG27" s="1"/>
      <c r="AH27" s="1"/>
    </row>
    <row r="28" spans="1:34" ht="15" customHeight="1" x14ac:dyDescent="0.25">
      <c r="A28" s="453"/>
      <c r="B28" s="453"/>
      <c r="C28" s="463" t="s">
        <v>43</v>
      </c>
      <c r="D28" s="463"/>
      <c r="E28" s="463"/>
      <c r="F28" s="463"/>
      <c r="G28" s="463"/>
      <c r="H28" s="82"/>
      <c r="I28" s="82"/>
      <c r="J28" s="82"/>
      <c r="K28" s="82"/>
      <c r="L28" s="82"/>
      <c r="M28" s="82"/>
      <c r="N28" s="82"/>
      <c r="O28" s="82"/>
      <c r="P28" s="82"/>
      <c r="Q28" s="82"/>
      <c r="R28" s="1"/>
      <c r="S28" s="1"/>
      <c r="T28" s="1"/>
      <c r="U28" s="1"/>
      <c r="V28" s="1"/>
      <c r="W28" s="1"/>
      <c r="X28" s="1"/>
      <c r="Y28" s="1"/>
      <c r="Z28" s="1"/>
      <c r="AA28" s="1"/>
      <c r="AB28" s="1"/>
      <c r="AC28" s="1"/>
      <c r="AD28" s="1"/>
      <c r="AE28" s="1"/>
      <c r="AF28" s="1"/>
      <c r="AG28" s="1"/>
      <c r="AH28" s="1"/>
    </row>
    <row r="29" spans="1:34" ht="15" customHeight="1" x14ac:dyDescent="0.25">
      <c r="A29" s="52"/>
      <c r="B29" s="52"/>
      <c r="C29" s="59"/>
      <c r="D29" s="59"/>
      <c r="E29" s="59"/>
      <c r="F29" s="59"/>
      <c r="G29" s="83"/>
      <c r="O29" s="84"/>
      <c r="P29" s="84"/>
      <c r="Q29" s="84"/>
      <c r="R29" s="1"/>
      <c r="S29" s="1"/>
      <c r="T29" s="1"/>
      <c r="U29" s="1"/>
      <c r="V29" s="1"/>
      <c r="W29" s="1"/>
      <c r="X29" s="1"/>
      <c r="Y29" s="1"/>
      <c r="Z29" s="1"/>
      <c r="AA29" s="1"/>
      <c r="AB29" s="1"/>
      <c r="AC29" s="1"/>
      <c r="AD29" s="1"/>
      <c r="AE29" s="1"/>
      <c r="AF29" s="1"/>
      <c r="AG29" s="1"/>
      <c r="AH29" s="1"/>
    </row>
    <row r="30" spans="1:34" ht="15" x14ac:dyDescent="0.25">
      <c r="A30" s="453"/>
      <c r="B30" s="453"/>
      <c r="C30" s="457" t="s">
        <v>26</v>
      </c>
      <c r="D30" s="455"/>
      <c r="E30" s="456"/>
      <c r="F30" s="456"/>
      <c r="G30" s="456"/>
      <c r="H30" s="456"/>
      <c r="I30" s="456"/>
      <c r="J30" s="456"/>
      <c r="K30" s="456"/>
      <c r="L30" s="456"/>
      <c r="M30" s="456"/>
      <c r="N30" s="456"/>
      <c r="O30" s="456"/>
      <c r="P30" s="456"/>
      <c r="Q30" s="88"/>
      <c r="R30" s="1"/>
      <c r="S30" s="1"/>
      <c r="T30" s="1"/>
      <c r="U30" s="1"/>
      <c r="V30" s="1"/>
      <c r="W30" s="1"/>
      <c r="X30" s="1"/>
      <c r="Y30" s="1"/>
      <c r="Z30" s="1"/>
      <c r="AA30" s="1"/>
      <c r="AB30" s="1"/>
      <c r="AC30" s="1"/>
      <c r="AD30" s="1"/>
      <c r="AE30" s="1"/>
      <c r="AF30" s="1"/>
      <c r="AG30" s="1"/>
      <c r="AH30" s="1"/>
    </row>
    <row r="31" spans="1:34" ht="14.25" x14ac:dyDescent="0.2">
      <c r="A31" s="453"/>
      <c r="B31" s="453"/>
      <c r="C31" s="454"/>
      <c r="D31" s="455"/>
      <c r="E31" s="456"/>
      <c r="F31" s="456"/>
      <c r="G31" s="456"/>
      <c r="H31" s="456"/>
      <c r="I31" s="456"/>
      <c r="J31" s="456"/>
      <c r="K31" s="456"/>
      <c r="L31" s="456"/>
      <c r="M31" s="456"/>
      <c r="N31" s="456"/>
      <c r="O31" s="456"/>
      <c r="P31" s="456"/>
      <c r="Q31" s="88"/>
      <c r="R31" s="1"/>
      <c r="S31" s="1"/>
      <c r="T31" s="1"/>
      <c r="U31" s="1"/>
      <c r="V31" s="1"/>
      <c r="W31" s="1"/>
      <c r="X31" s="1"/>
      <c r="Y31" s="1"/>
      <c r="Z31" s="1"/>
      <c r="AA31" s="1"/>
      <c r="AB31" s="1"/>
      <c r="AC31" s="1"/>
      <c r="AD31" s="1"/>
      <c r="AE31" s="1"/>
      <c r="AF31" s="1"/>
      <c r="AG31" s="1"/>
      <c r="AH31" s="1"/>
    </row>
    <row r="32" spans="1:34" ht="14.25" x14ac:dyDescent="0.2">
      <c r="A32" s="453"/>
      <c r="B32" s="453"/>
      <c r="C32" s="454"/>
      <c r="D32" s="455"/>
      <c r="E32" s="456"/>
      <c r="F32" s="456"/>
      <c r="G32" s="456"/>
      <c r="H32" s="456"/>
      <c r="I32" s="456"/>
      <c r="J32" s="456"/>
      <c r="K32" s="456"/>
      <c r="L32" s="456"/>
      <c r="M32" s="456"/>
      <c r="N32" s="456"/>
      <c r="O32" s="456"/>
      <c r="P32" s="456"/>
      <c r="Q32" s="88"/>
      <c r="R32" s="1"/>
      <c r="S32" s="1"/>
      <c r="T32" s="1"/>
      <c r="U32" s="1"/>
      <c r="V32" s="1"/>
      <c r="W32" s="1"/>
      <c r="X32" s="1"/>
      <c r="Y32" s="1"/>
      <c r="Z32" s="1"/>
      <c r="AA32" s="1"/>
      <c r="AB32" s="1"/>
      <c r="AC32" s="1"/>
      <c r="AD32" s="1"/>
      <c r="AE32" s="1"/>
      <c r="AF32" s="1"/>
      <c r="AG32" s="1"/>
      <c r="AH32" s="1"/>
    </row>
    <row r="33" spans="1:34" ht="14.25" x14ac:dyDescent="0.2">
      <c r="A33" s="453"/>
      <c r="B33" s="453"/>
      <c r="C33" s="454"/>
      <c r="D33" s="455"/>
      <c r="E33" s="456"/>
      <c r="F33" s="456"/>
      <c r="G33" s="456"/>
      <c r="H33" s="456"/>
      <c r="I33" s="456"/>
      <c r="J33" s="456"/>
      <c r="K33" s="456"/>
      <c r="L33" s="456"/>
      <c r="M33" s="456"/>
      <c r="N33" s="456"/>
      <c r="O33" s="456"/>
      <c r="P33" s="456"/>
      <c r="Q33" s="88"/>
      <c r="R33" s="1"/>
      <c r="S33" s="1"/>
      <c r="T33" s="1"/>
      <c r="U33" s="1"/>
      <c r="V33" s="1"/>
      <c r="W33" s="1"/>
      <c r="X33" s="1"/>
      <c r="Y33" s="1"/>
      <c r="Z33" s="1"/>
      <c r="AA33" s="1"/>
      <c r="AB33" s="1"/>
      <c r="AC33" s="1"/>
      <c r="AD33" s="1"/>
      <c r="AE33" s="1"/>
      <c r="AF33" s="1"/>
      <c r="AG33" s="1"/>
      <c r="AH33" s="1"/>
    </row>
    <row r="34" spans="1:34" x14ac:dyDescent="0.2">
      <c r="A34" s="453"/>
      <c r="B34" s="453"/>
      <c r="C34" s="458"/>
      <c r="D34" s="458"/>
      <c r="E34" s="459"/>
      <c r="F34" s="459"/>
      <c r="G34" s="15"/>
      <c r="H34" s="6"/>
      <c r="I34" s="16"/>
      <c r="J34" s="16"/>
      <c r="K34" s="16"/>
      <c r="L34" s="16"/>
      <c r="M34" s="16"/>
      <c r="N34" s="16"/>
      <c r="O34" s="16"/>
      <c r="P34" s="16"/>
      <c r="Q34" s="16"/>
      <c r="R34" s="1"/>
      <c r="S34" s="1"/>
      <c r="T34" s="1"/>
      <c r="U34" s="1"/>
      <c r="V34" s="1"/>
      <c r="W34" s="1"/>
      <c r="X34" s="1"/>
      <c r="Y34" s="1"/>
      <c r="Z34" s="1"/>
      <c r="AA34" s="1"/>
      <c r="AB34" s="1"/>
      <c r="AC34" s="1"/>
      <c r="AD34" s="1"/>
      <c r="AE34" s="1"/>
      <c r="AF34" s="1"/>
      <c r="AG34" s="1"/>
      <c r="AH34" s="1"/>
    </row>
    <row r="35" spans="1:34" x14ac:dyDescent="0.2">
      <c r="A35" s="453"/>
      <c r="B35" s="453"/>
      <c r="C35" s="458"/>
      <c r="D35" s="458"/>
      <c r="E35" s="459"/>
      <c r="F35" s="459"/>
      <c r="G35" s="15"/>
      <c r="H35" s="6"/>
      <c r="I35" s="16"/>
      <c r="J35" s="16"/>
      <c r="K35" s="16"/>
      <c r="L35" s="16"/>
      <c r="M35" s="16"/>
      <c r="N35" s="16"/>
      <c r="O35" s="16"/>
      <c r="P35" s="16"/>
      <c r="Q35" s="16"/>
      <c r="R35" s="1"/>
      <c r="S35" s="1"/>
      <c r="T35" s="1"/>
      <c r="U35" s="1"/>
      <c r="V35" s="1"/>
      <c r="W35" s="1"/>
      <c r="X35" s="1"/>
      <c r="Y35" s="1"/>
      <c r="Z35" s="1"/>
      <c r="AA35" s="1"/>
      <c r="AB35" s="1"/>
      <c r="AC35" s="1"/>
      <c r="AD35" s="1"/>
      <c r="AE35" s="1"/>
      <c r="AF35" s="1"/>
      <c r="AG35" s="1"/>
      <c r="AH35" s="1"/>
    </row>
    <row r="36" spans="1:34" x14ac:dyDescent="0.2">
      <c r="A36" s="453"/>
      <c r="B36" s="453"/>
      <c r="C36" s="458"/>
      <c r="D36" s="458"/>
      <c r="E36" s="459"/>
      <c r="F36" s="459"/>
      <c r="G36" s="15"/>
      <c r="H36" s="6"/>
      <c r="I36" s="16"/>
      <c r="J36" s="16"/>
      <c r="K36" s="16"/>
      <c r="L36" s="16"/>
      <c r="M36" s="16"/>
      <c r="N36" s="16"/>
      <c r="O36" s="16"/>
      <c r="P36" s="16"/>
      <c r="Q36" s="16"/>
      <c r="R36" s="1"/>
      <c r="S36" s="1"/>
      <c r="T36" s="1"/>
      <c r="U36" s="1"/>
      <c r="V36" s="1"/>
      <c r="W36" s="1"/>
      <c r="X36" s="1"/>
      <c r="Y36" s="1"/>
      <c r="Z36" s="1"/>
      <c r="AA36" s="1"/>
      <c r="AB36" s="1"/>
      <c r="AC36" s="1"/>
      <c r="AD36" s="1"/>
      <c r="AE36" s="1"/>
      <c r="AF36" s="1"/>
      <c r="AG36" s="1"/>
      <c r="AH36" s="1"/>
    </row>
    <row r="37" spans="1:34" x14ac:dyDescent="0.2">
      <c r="A37" s="453"/>
      <c r="B37" s="453"/>
      <c r="C37" s="458"/>
      <c r="D37" s="458"/>
      <c r="E37" s="459"/>
      <c r="F37" s="459"/>
      <c r="G37" s="15"/>
      <c r="H37" s="6"/>
      <c r="I37" s="16"/>
      <c r="J37" s="16"/>
      <c r="K37" s="16"/>
      <c r="L37" s="16"/>
      <c r="M37" s="16"/>
      <c r="N37" s="16"/>
      <c r="O37" s="16"/>
      <c r="P37" s="16"/>
      <c r="Q37" s="16"/>
      <c r="R37" s="1"/>
      <c r="S37" s="1"/>
      <c r="T37" s="1"/>
      <c r="U37" s="1"/>
      <c r="V37" s="1"/>
      <c r="W37" s="1"/>
      <c r="X37" s="1"/>
      <c r="Y37" s="1"/>
      <c r="Z37" s="1"/>
      <c r="AA37" s="1"/>
      <c r="AB37" s="1"/>
      <c r="AC37" s="1"/>
      <c r="AD37" s="1"/>
      <c r="AE37" s="1"/>
      <c r="AF37" s="1"/>
      <c r="AG37" s="1"/>
      <c r="AH37" s="1"/>
    </row>
    <row r="38" spans="1:34" x14ac:dyDescent="0.2">
      <c r="A38" s="453"/>
      <c r="B38" s="453"/>
      <c r="C38" s="458"/>
      <c r="D38" s="458"/>
      <c r="E38" s="459"/>
      <c r="F38" s="459"/>
      <c r="G38" s="15"/>
      <c r="H38" s="6"/>
      <c r="I38" s="16"/>
      <c r="J38" s="16"/>
      <c r="K38" s="16"/>
      <c r="L38" s="16"/>
      <c r="M38" s="16"/>
      <c r="N38" s="16"/>
      <c r="O38" s="16"/>
      <c r="P38" s="16"/>
      <c r="Q38" s="16"/>
      <c r="R38" s="1"/>
      <c r="S38" s="1"/>
      <c r="T38" s="1"/>
      <c r="U38" s="1"/>
      <c r="V38" s="1"/>
      <c r="W38" s="1"/>
      <c r="X38" s="1"/>
      <c r="Y38" s="1"/>
      <c r="Z38" s="1"/>
      <c r="AA38" s="1"/>
      <c r="AB38" s="1"/>
      <c r="AC38" s="1"/>
      <c r="AD38" s="1"/>
      <c r="AE38" s="1"/>
      <c r="AF38" s="1"/>
      <c r="AG38" s="1"/>
      <c r="AH38" s="1"/>
    </row>
    <row r="39" spans="1:34" x14ac:dyDescent="0.2">
      <c r="A39" s="453"/>
      <c r="B39" s="453"/>
      <c r="C39" s="458"/>
      <c r="D39" s="458"/>
      <c r="E39" s="459"/>
      <c r="F39" s="459"/>
      <c r="G39" s="15"/>
      <c r="H39" s="6"/>
      <c r="I39" s="16"/>
      <c r="J39" s="16"/>
      <c r="K39" s="16"/>
      <c r="L39" s="16"/>
      <c r="M39" s="16"/>
      <c r="N39" s="16"/>
      <c r="O39" s="16"/>
      <c r="P39" s="16"/>
      <c r="Q39" s="16"/>
      <c r="R39" s="1"/>
      <c r="S39" s="1"/>
      <c r="T39" s="1"/>
      <c r="U39" s="1"/>
      <c r="V39" s="1"/>
      <c r="W39" s="1"/>
      <c r="X39" s="1"/>
      <c r="Y39" s="1"/>
      <c r="Z39" s="1"/>
      <c r="AA39" s="1"/>
      <c r="AB39" s="1"/>
      <c r="AC39" s="1"/>
      <c r="AD39" s="1"/>
      <c r="AE39" s="1"/>
      <c r="AF39" s="1"/>
      <c r="AG39" s="1"/>
      <c r="AH39" s="1"/>
    </row>
    <row r="40" spans="1:34" x14ac:dyDescent="0.2">
      <c r="A40" s="453"/>
      <c r="B40" s="453"/>
      <c r="C40" s="458"/>
      <c r="D40" s="458"/>
      <c r="E40" s="459"/>
      <c r="F40" s="459"/>
      <c r="G40" s="15"/>
      <c r="H40" s="6"/>
      <c r="I40" s="16"/>
      <c r="J40" s="16"/>
      <c r="K40" s="16"/>
      <c r="L40" s="16"/>
      <c r="M40" s="16"/>
      <c r="N40" s="16"/>
      <c r="O40" s="16"/>
      <c r="P40" s="16"/>
      <c r="Q40" s="16"/>
      <c r="R40" s="1"/>
      <c r="S40" s="1"/>
      <c r="T40" s="1"/>
      <c r="U40" s="1"/>
      <c r="V40" s="1"/>
      <c r="W40" s="1"/>
      <c r="X40" s="1"/>
      <c r="Y40" s="1"/>
      <c r="Z40" s="1"/>
      <c r="AA40" s="1"/>
      <c r="AB40" s="1"/>
      <c r="AC40" s="1"/>
      <c r="AD40" s="1"/>
      <c r="AE40" s="1"/>
      <c r="AF40" s="1"/>
      <c r="AG40" s="1"/>
      <c r="AH40" s="1"/>
    </row>
    <row r="41" spans="1:34" x14ac:dyDescent="0.2">
      <c r="A41" s="453"/>
      <c r="B41" s="453"/>
      <c r="C41" s="458"/>
      <c r="D41" s="458"/>
      <c r="E41" s="459"/>
      <c r="F41" s="459"/>
      <c r="G41" s="15"/>
      <c r="H41" s="6"/>
      <c r="I41" s="16"/>
      <c r="J41" s="16"/>
      <c r="K41" s="16"/>
      <c r="L41" s="16"/>
      <c r="M41" s="16"/>
      <c r="N41" s="16"/>
      <c r="O41" s="16"/>
      <c r="P41" s="16"/>
      <c r="Q41" s="16"/>
      <c r="R41" s="1"/>
      <c r="S41" s="1"/>
      <c r="T41" s="1"/>
      <c r="U41" s="1"/>
      <c r="V41" s="1"/>
      <c r="W41" s="1"/>
      <c r="X41" s="1"/>
      <c r="Y41" s="1"/>
      <c r="Z41" s="1"/>
      <c r="AA41" s="1"/>
      <c r="AB41" s="1"/>
      <c r="AC41" s="1"/>
      <c r="AD41" s="1"/>
      <c r="AE41" s="1"/>
      <c r="AF41" s="1"/>
      <c r="AG41" s="1"/>
      <c r="AH41" s="1"/>
    </row>
    <row r="42" spans="1:34" x14ac:dyDescent="0.2">
      <c r="A42" s="453"/>
      <c r="B42" s="453"/>
      <c r="C42" s="458"/>
      <c r="D42" s="458"/>
      <c r="E42" s="459"/>
      <c r="F42" s="459"/>
      <c r="G42" s="15"/>
      <c r="H42" s="6"/>
      <c r="I42" s="16"/>
      <c r="J42" s="16"/>
      <c r="K42" s="16"/>
      <c r="L42" s="16"/>
      <c r="M42" s="16"/>
      <c r="N42" s="16"/>
      <c r="O42" s="16"/>
      <c r="P42" s="16"/>
      <c r="Q42" s="16"/>
      <c r="R42" s="1"/>
      <c r="S42" s="1"/>
      <c r="T42" s="1"/>
      <c r="U42" s="1"/>
      <c r="V42" s="1"/>
      <c r="W42" s="1"/>
      <c r="X42" s="1"/>
      <c r="Y42" s="1"/>
      <c r="Z42" s="1"/>
      <c r="AA42" s="1"/>
      <c r="AB42" s="1"/>
      <c r="AC42" s="1"/>
      <c r="AD42" s="1"/>
      <c r="AE42" s="1"/>
      <c r="AF42" s="1"/>
      <c r="AG42" s="1"/>
      <c r="AH42" s="1"/>
    </row>
    <row r="43" spans="1:34" x14ac:dyDescent="0.2">
      <c r="A43" s="453"/>
      <c r="B43" s="453"/>
      <c r="C43" s="458"/>
      <c r="D43" s="458"/>
      <c r="E43" s="459"/>
      <c r="F43" s="459"/>
      <c r="G43" s="15"/>
      <c r="H43" s="6"/>
      <c r="I43" s="16"/>
      <c r="J43" s="16"/>
      <c r="K43" s="16"/>
      <c r="L43" s="16"/>
      <c r="M43" s="16"/>
      <c r="N43" s="16"/>
      <c r="O43" s="16"/>
      <c r="P43" s="16"/>
      <c r="Q43" s="16"/>
      <c r="R43" s="1"/>
      <c r="S43" s="1"/>
      <c r="T43" s="1"/>
      <c r="U43" s="1"/>
      <c r="V43" s="1"/>
      <c r="W43" s="1"/>
      <c r="X43" s="1"/>
      <c r="Y43" s="1"/>
      <c r="Z43" s="1"/>
      <c r="AA43" s="1"/>
      <c r="AB43" s="1"/>
      <c r="AC43" s="1"/>
      <c r="AD43" s="1"/>
      <c r="AE43" s="1"/>
      <c r="AF43" s="1"/>
      <c r="AG43" s="1"/>
      <c r="AH43" s="1"/>
    </row>
    <row r="44" spans="1:34" x14ac:dyDescent="0.2">
      <c r="A44" s="453"/>
      <c r="B44" s="453"/>
      <c r="C44" s="458"/>
      <c r="D44" s="458"/>
      <c r="E44" s="459"/>
      <c r="F44" s="459"/>
      <c r="G44" s="15"/>
      <c r="H44" s="6"/>
      <c r="I44" s="16"/>
      <c r="J44" s="16"/>
      <c r="K44" s="16"/>
      <c r="L44" s="16"/>
      <c r="M44" s="16"/>
      <c r="N44" s="16"/>
      <c r="O44" s="16"/>
      <c r="P44" s="16"/>
      <c r="Q44" s="16"/>
      <c r="R44" s="1"/>
      <c r="S44" s="1"/>
      <c r="T44" s="1"/>
      <c r="U44" s="1"/>
      <c r="V44" s="1"/>
      <c r="W44" s="1"/>
      <c r="X44" s="1"/>
      <c r="Y44" s="1"/>
      <c r="Z44" s="1"/>
      <c r="AA44" s="1"/>
      <c r="AB44" s="1"/>
      <c r="AC44" s="1"/>
      <c r="AD44" s="1"/>
      <c r="AE44" s="1"/>
      <c r="AF44" s="1"/>
      <c r="AG44" s="1"/>
      <c r="AH44" s="1"/>
    </row>
    <row r="45" spans="1:34" x14ac:dyDescent="0.2">
      <c r="A45" s="453"/>
      <c r="B45" s="453"/>
      <c r="C45" s="458"/>
      <c r="D45" s="458"/>
      <c r="E45" s="459"/>
      <c r="F45" s="459"/>
      <c r="G45" s="15"/>
      <c r="H45" s="6"/>
      <c r="I45" s="16"/>
      <c r="J45" s="16"/>
      <c r="K45" s="16"/>
      <c r="L45" s="16"/>
      <c r="M45" s="16"/>
      <c r="N45" s="16"/>
      <c r="O45" s="16"/>
      <c r="P45" s="16"/>
      <c r="Q45" s="16"/>
      <c r="R45" s="1"/>
      <c r="S45" s="1"/>
      <c r="T45" s="1"/>
      <c r="U45" s="1"/>
      <c r="V45" s="1"/>
      <c r="W45" s="1"/>
      <c r="X45" s="1"/>
      <c r="Y45" s="1"/>
      <c r="Z45" s="1"/>
      <c r="AA45" s="1"/>
      <c r="AB45" s="1"/>
      <c r="AC45" s="1"/>
      <c r="AD45" s="1"/>
      <c r="AE45" s="1"/>
      <c r="AF45" s="1"/>
      <c r="AG45" s="1"/>
      <c r="AH45" s="1"/>
    </row>
    <row r="46" spans="1:34" x14ac:dyDescent="0.2">
      <c r="A46" s="453"/>
      <c r="B46" s="453"/>
      <c r="C46" s="458"/>
      <c r="D46" s="458"/>
      <c r="E46" s="459"/>
      <c r="F46" s="459"/>
      <c r="G46" s="15"/>
      <c r="H46" s="6"/>
      <c r="I46" s="16"/>
      <c r="J46" s="16"/>
      <c r="K46" s="16"/>
      <c r="L46" s="16"/>
      <c r="M46" s="16"/>
      <c r="N46" s="16"/>
      <c r="O46" s="16"/>
      <c r="P46" s="16"/>
      <c r="Q46" s="16"/>
      <c r="R46" s="1"/>
      <c r="S46" s="1"/>
      <c r="T46" s="1"/>
      <c r="U46" s="1"/>
      <c r="V46" s="1"/>
      <c r="W46" s="1"/>
      <c r="X46" s="1"/>
      <c r="Y46" s="1"/>
      <c r="Z46" s="1"/>
      <c r="AA46" s="1"/>
      <c r="AB46" s="1"/>
      <c r="AC46" s="1"/>
      <c r="AD46" s="1"/>
      <c r="AE46" s="1"/>
      <c r="AF46" s="1"/>
      <c r="AG46" s="1"/>
      <c r="AH46" s="1"/>
    </row>
    <row r="47" spans="1:34" x14ac:dyDescent="0.2">
      <c r="A47" s="453"/>
      <c r="B47" s="453"/>
      <c r="C47" s="458"/>
      <c r="D47" s="458"/>
      <c r="E47" s="459"/>
      <c r="F47" s="459"/>
      <c r="G47" s="15"/>
      <c r="H47" s="6"/>
      <c r="I47" s="16"/>
      <c r="J47" s="16"/>
      <c r="K47" s="16"/>
      <c r="L47" s="16"/>
      <c r="M47" s="16"/>
      <c r="N47" s="16"/>
      <c r="O47" s="16"/>
      <c r="P47" s="16"/>
      <c r="Q47" s="16"/>
      <c r="R47" s="1"/>
      <c r="S47" s="1"/>
      <c r="T47" s="1"/>
      <c r="U47" s="1"/>
      <c r="V47" s="1"/>
      <c r="W47" s="1"/>
      <c r="X47" s="1"/>
      <c r="Y47" s="1"/>
      <c r="Z47" s="1"/>
      <c r="AA47" s="1"/>
      <c r="AB47" s="1"/>
      <c r="AC47" s="1"/>
      <c r="AD47" s="1"/>
      <c r="AE47" s="1"/>
      <c r="AF47" s="1"/>
      <c r="AG47" s="1"/>
      <c r="AH47" s="1"/>
    </row>
    <row r="48" spans="1:34" s="1" customFormat="1" x14ac:dyDescent="0.2">
      <c r="C48" s="460"/>
      <c r="D48" s="460"/>
      <c r="G48" s="8"/>
      <c r="I48" s="11"/>
      <c r="J48" s="11"/>
      <c r="K48" s="11"/>
      <c r="L48" s="11"/>
      <c r="M48" s="11"/>
      <c r="N48" s="11"/>
      <c r="O48" s="11"/>
      <c r="P48" s="11"/>
      <c r="Q48" s="11"/>
    </row>
    <row r="49" spans="3:17" s="1" customFormat="1" x14ac:dyDescent="0.2">
      <c r="C49" s="460"/>
      <c r="D49" s="460"/>
      <c r="G49" s="8"/>
      <c r="I49" s="11"/>
      <c r="J49" s="11"/>
      <c r="K49" s="11"/>
      <c r="L49" s="11"/>
      <c r="M49" s="11"/>
      <c r="N49" s="11"/>
      <c r="O49" s="11"/>
      <c r="P49" s="11"/>
      <c r="Q49" s="11"/>
    </row>
    <row r="50" spans="3:17" s="1" customFormat="1" x14ac:dyDescent="0.2">
      <c r="G50" s="8"/>
      <c r="I50" s="11"/>
      <c r="J50" s="11"/>
      <c r="K50" s="11"/>
      <c r="L50" s="11"/>
      <c r="M50" s="11"/>
      <c r="N50" s="11"/>
      <c r="O50" s="11"/>
      <c r="P50" s="11"/>
      <c r="Q50" s="11"/>
    </row>
    <row r="51" spans="3:17" s="1" customFormat="1" x14ac:dyDescent="0.2">
      <c r="G51" s="8"/>
      <c r="I51" s="11"/>
      <c r="J51" s="11"/>
      <c r="K51" s="11"/>
      <c r="L51" s="11"/>
      <c r="M51" s="11"/>
      <c r="N51" s="11"/>
      <c r="O51" s="11"/>
      <c r="P51" s="11"/>
      <c r="Q51" s="11"/>
    </row>
    <row r="52" spans="3:17" s="1" customFormat="1" x14ac:dyDescent="0.2">
      <c r="G52" s="8"/>
      <c r="I52" s="11"/>
      <c r="J52" s="11"/>
      <c r="K52" s="11"/>
      <c r="L52" s="11"/>
      <c r="M52" s="11"/>
      <c r="N52" s="11"/>
      <c r="O52" s="11"/>
      <c r="P52" s="11"/>
      <c r="Q52" s="11"/>
    </row>
    <row r="53" spans="3:17" s="1" customFormat="1" x14ac:dyDescent="0.2">
      <c r="G53" s="8"/>
      <c r="I53" s="11"/>
      <c r="J53" s="11"/>
      <c r="K53" s="11"/>
      <c r="L53" s="11"/>
      <c r="M53" s="11"/>
      <c r="N53" s="11"/>
      <c r="O53" s="11"/>
      <c r="P53" s="11"/>
      <c r="Q53" s="11"/>
    </row>
    <row r="54" spans="3:17" s="1" customFormat="1" x14ac:dyDescent="0.2">
      <c r="G54" s="8"/>
      <c r="I54" s="11"/>
      <c r="J54" s="11"/>
      <c r="K54" s="11"/>
      <c r="L54" s="11"/>
      <c r="M54" s="11"/>
      <c r="N54" s="11"/>
      <c r="O54" s="11"/>
      <c r="P54" s="11"/>
      <c r="Q54" s="11"/>
    </row>
    <row r="55" spans="3:17" s="1" customFormat="1" x14ac:dyDescent="0.2">
      <c r="G55" s="8"/>
      <c r="I55" s="11"/>
      <c r="J55" s="11"/>
      <c r="K55" s="11"/>
      <c r="L55" s="11"/>
      <c r="M55" s="11"/>
      <c r="N55" s="11"/>
      <c r="O55" s="11"/>
      <c r="P55" s="11"/>
      <c r="Q55" s="11"/>
    </row>
    <row r="56" spans="3:17" s="1" customFormat="1" x14ac:dyDescent="0.2">
      <c r="G56" s="8"/>
      <c r="I56" s="11"/>
      <c r="J56" s="11"/>
      <c r="K56" s="11"/>
      <c r="L56" s="11"/>
      <c r="M56" s="11"/>
      <c r="N56" s="11"/>
      <c r="O56" s="11"/>
      <c r="P56" s="11"/>
      <c r="Q56" s="11"/>
    </row>
    <row r="57" spans="3:17" s="1" customFormat="1" x14ac:dyDescent="0.2">
      <c r="G57" s="8"/>
      <c r="I57" s="11"/>
      <c r="J57" s="11"/>
      <c r="K57" s="11"/>
      <c r="L57" s="11"/>
      <c r="M57" s="11"/>
      <c r="N57" s="11"/>
      <c r="O57" s="11"/>
      <c r="P57" s="11"/>
      <c r="Q57" s="11"/>
    </row>
    <row r="58" spans="3:17" s="1" customFormat="1" x14ac:dyDescent="0.2">
      <c r="G58" s="8"/>
      <c r="I58" s="11"/>
      <c r="J58" s="11"/>
      <c r="K58" s="11"/>
      <c r="L58" s="11"/>
      <c r="M58" s="11"/>
      <c r="N58" s="11"/>
      <c r="O58" s="11"/>
      <c r="P58" s="11"/>
      <c r="Q58" s="11"/>
    </row>
    <row r="59" spans="3:17" s="1" customFormat="1" x14ac:dyDescent="0.2">
      <c r="G59" s="8"/>
      <c r="I59" s="11"/>
      <c r="J59" s="11"/>
      <c r="K59" s="11"/>
      <c r="L59" s="11"/>
      <c r="M59" s="11"/>
      <c r="N59" s="11"/>
      <c r="O59" s="11"/>
      <c r="P59" s="11"/>
      <c r="Q59" s="11"/>
    </row>
    <row r="60" spans="3:17" s="1" customFormat="1" x14ac:dyDescent="0.2">
      <c r="G60" s="8"/>
      <c r="I60" s="11"/>
      <c r="J60" s="11"/>
      <c r="K60" s="11"/>
      <c r="L60" s="11"/>
      <c r="M60" s="11"/>
      <c r="N60" s="11"/>
      <c r="O60" s="11"/>
      <c r="P60" s="11"/>
      <c r="Q60" s="11"/>
    </row>
    <row r="61" spans="3:17" s="1" customFormat="1" x14ac:dyDescent="0.2">
      <c r="G61" s="8"/>
      <c r="I61" s="11"/>
      <c r="J61" s="11"/>
      <c r="K61" s="11"/>
      <c r="L61" s="11"/>
      <c r="M61" s="11"/>
      <c r="N61" s="11"/>
      <c r="O61" s="11"/>
      <c r="P61" s="11"/>
      <c r="Q61" s="11"/>
    </row>
    <row r="62" spans="3:17" s="1" customFormat="1" x14ac:dyDescent="0.2">
      <c r="G62" s="8"/>
      <c r="I62" s="11"/>
      <c r="J62" s="11"/>
      <c r="K62" s="11"/>
      <c r="L62" s="11"/>
      <c r="M62" s="11"/>
      <c r="N62" s="11"/>
      <c r="O62" s="11"/>
      <c r="P62" s="11"/>
      <c r="Q62" s="11"/>
    </row>
    <row r="63" spans="3:17" s="1" customFormat="1" x14ac:dyDescent="0.2">
      <c r="G63" s="8"/>
      <c r="I63" s="11"/>
      <c r="J63" s="11"/>
      <c r="K63" s="11"/>
      <c r="L63" s="11"/>
      <c r="M63" s="11"/>
      <c r="N63" s="11"/>
      <c r="O63" s="11"/>
      <c r="P63" s="11"/>
      <c r="Q63" s="11"/>
    </row>
    <row r="64" spans="3:17" s="1" customFormat="1" x14ac:dyDescent="0.2">
      <c r="G64" s="8"/>
      <c r="I64" s="11"/>
      <c r="J64" s="11"/>
      <c r="K64" s="11"/>
      <c r="L64" s="11"/>
      <c r="M64" s="11"/>
      <c r="N64" s="11"/>
      <c r="O64" s="11"/>
      <c r="P64" s="11"/>
      <c r="Q64" s="11"/>
    </row>
    <row r="65" spans="7:17" s="1" customFormat="1" x14ac:dyDescent="0.2">
      <c r="G65" s="8"/>
      <c r="I65" s="11"/>
      <c r="J65" s="11"/>
      <c r="K65" s="11"/>
      <c r="L65" s="11"/>
      <c r="M65" s="11"/>
      <c r="N65" s="11"/>
      <c r="O65" s="11"/>
      <c r="P65" s="11"/>
      <c r="Q65" s="11"/>
    </row>
    <row r="66" spans="7:17" s="1" customFormat="1" x14ac:dyDescent="0.2">
      <c r="G66" s="8"/>
    </row>
    <row r="67" spans="7:17" s="1" customFormat="1" x14ac:dyDescent="0.2">
      <c r="G67" s="8"/>
    </row>
    <row r="68" spans="7:17" s="1" customFormat="1" x14ac:dyDescent="0.2">
      <c r="G68" s="8"/>
    </row>
    <row r="69" spans="7:17" s="1" customFormat="1" x14ac:dyDescent="0.2">
      <c r="G69" s="8"/>
    </row>
    <row r="70" spans="7:17" s="1" customFormat="1" x14ac:dyDescent="0.2">
      <c r="G70" s="8"/>
    </row>
    <row r="71" spans="7:17" s="1" customFormat="1" x14ac:dyDescent="0.2">
      <c r="G71" s="8"/>
    </row>
    <row r="72" spans="7:17" s="1" customFormat="1" x14ac:dyDescent="0.2">
      <c r="G72" s="8"/>
    </row>
    <row r="73" spans="7:17" s="1" customFormat="1" x14ac:dyDescent="0.2">
      <c r="G73" s="8"/>
    </row>
    <row r="74" spans="7:17" s="1" customFormat="1" x14ac:dyDescent="0.2">
      <c r="G74" s="8"/>
    </row>
    <row r="75" spans="7:17" s="1" customFormat="1" x14ac:dyDescent="0.2">
      <c r="G75" s="8"/>
    </row>
    <row r="76" spans="7:17" s="1" customFormat="1" x14ac:dyDescent="0.2">
      <c r="G76" s="8"/>
    </row>
    <row r="77" spans="7:17" s="1" customFormat="1" x14ac:dyDescent="0.2">
      <c r="G77" s="8"/>
    </row>
    <row r="78" spans="7:17" s="1" customFormat="1" x14ac:dyDescent="0.2">
      <c r="G78" s="8"/>
    </row>
    <row r="79" spans="7:17" s="1" customFormat="1" x14ac:dyDescent="0.2">
      <c r="G79" s="8"/>
    </row>
    <row r="80" spans="7:17" s="1" customFormat="1" x14ac:dyDescent="0.2">
      <c r="G80" s="8"/>
    </row>
    <row r="81" spans="7:7" s="1" customFormat="1" x14ac:dyDescent="0.2">
      <c r="G81" s="8"/>
    </row>
    <row r="82" spans="7:7" s="1" customFormat="1" x14ac:dyDescent="0.2">
      <c r="G82" s="8"/>
    </row>
    <row r="83" spans="7:7" s="1" customFormat="1" x14ac:dyDescent="0.2">
      <c r="G83" s="8"/>
    </row>
    <row r="84" spans="7:7" s="1" customFormat="1" x14ac:dyDescent="0.2">
      <c r="G84" s="8"/>
    </row>
    <row r="85" spans="7:7" s="1" customFormat="1" x14ac:dyDescent="0.2">
      <c r="G85" s="8"/>
    </row>
    <row r="86" spans="7:7" s="1" customFormat="1" x14ac:dyDescent="0.2">
      <c r="G86" s="8"/>
    </row>
    <row r="87" spans="7:7" s="1" customFormat="1" x14ac:dyDescent="0.2">
      <c r="G87" s="8"/>
    </row>
    <row r="88" spans="7:7" s="1" customFormat="1" x14ac:dyDescent="0.2">
      <c r="G88" s="8"/>
    </row>
    <row r="89" spans="7:7" s="1" customFormat="1" x14ac:dyDescent="0.2">
      <c r="G89" s="8"/>
    </row>
    <row r="90" spans="7:7" s="1" customFormat="1" x14ac:dyDescent="0.2">
      <c r="G90" s="8"/>
    </row>
    <row r="91" spans="7:7" s="1" customFormat="1" x14ac:dyDescent="0.2">
      <c r="G91" s="8"/>
    </row>
    <row r="92" spans="7:7" s="1" customFormat="1" x14ac:dyDescent="0.2">
      <c r="G92" s="8"/>
    </row>
    <row r="93" spans="7:7" s="1" customFormat="1" x14ac:dyDescent="0.2">
      <c r="G93" s="8"/>
    </row>
    <row r="94" spans="7:7" s="1" customFormat="1" x14ac:dyDescent="0.2">
      <c r="G94" s="8"/>
    </row>
    <row r="95" spans="7:7" s="1" customFormat="1" x14ac:dyDescent="0.2">
      <c r="G95" s="8"/>
    </row>
    <row r="96" spans="7:7" s="1" customFormat="1" x14ac:dyDescent="0.2">
      <c r="G96" s="8"/>
    </row>
    <row r="97" spans="7:7" s="1" customFormat="1" x14ac:dyDescent="0.2">
      <c r="G97" s="8"/>
    </row>
    <row r="98" spans="7:7" s="1" customFormat="1" x14ac:dyDescent="0.2">
      <c r="G98" s="8"/>
    </row>
    <row r="99" spans="7:7" s="1" customFormat="1" x14ac:dyDescent="0.2">
      <c r="G99" s="8"/>
    </row>
    <row r="100" spans="7:7" s="1" customFormat="1" x14ac:dyDescent="0.2">
      <c r="G100" s="8"/>
    </row>
    <row r="101" spans="7:7" s="1" customFormat="1" x14ac:dyDescent="0.2">
      <c r="G101" s="8"/>
    </row>
    <row r="102" spans="7:7" s="1" customFormat="1" x14ac:dyDescent="0.2">
      <c r="G102" s="8"/>
    </row>
    <row r="103" spans="7:7" s="1" customFormat="1" x14ac:dyDescent="0.2">
      <c r="G103" s="8"/>
    </row>
    <row r="104" spans="7:7" s="1" customFormat="1" x14ac:dyDescent="0.2">
      <c r="G104" s="8"/>
    </row>
    <row r="105" spans="7:7" s="1" customFormat="1" x14ac:dyDescent="0.2">
      <c r="G105" s="8"/>
    </row>
    <row r="106" spans="7:7" s="1" customFormat="1" x14ac:dyDescent="0.2">
      <c r="G106" s="8"/>
    </row>
    <row r="107" spans="7:7" s="1" customFormat="1" x14ac:dyDescent="0.2">
      <c r="G107" s="8"/>
    </row>
    <row r="108" spans="7:7" s="1" customFormat="1" x14ac:dyDescent="0.2">
      <c r="G108" s="8"/>
    </row>
    <row r="109" spans="7:7" s="1" customFormat="1" x14ac:dyDescent="0.2">
      <c r="G109" s="8"/>
    </row>
    <row r="110" spans="7:7" s="1" customFormat="1" x14ac:dyDescent="0.2">
      <c r="G110" s="8"/>
    </row>
    <row r="111" spans="7:7" s="1" customFormat="1" x14ac:dyDescent="0.2">
      <c r="G111" s="8"/>
    </row>
    <row r="112" spans="7:7" s="1" customFormat="1" x14ac:dyDescent="0.2">
      <c r="G112" s="8"/>
    </row>
    <row r="113" spans="7:7" s="1" customFormat="1" x14ac:dyDescent="0.2">
      <c r="G113" s="8"/>
    </row>
    <row r="114" spans="7:7" s="1" customFormat="1" x14ac:dyDescent="0.2">
      <c r="G114" s="8"/>
    </row>
    <row r="115" spans="7:7" s="1" customFormat="1" x14ac:dyDescent="0.2">
      <c r="G115" s="8"/>
    </row>
    <row r="116" spans="7:7" s="1" customFormat="1" x14ac:dyDescent="0.2">
      <c r="G116" s="8"/>
    </row>
    <row r="117" spans="7:7" s="1" customFormat="1" x14ac:dyDescent="0.2">
      <c r="G117" s="8"/>
    </row>
    <row r="118" spans="7:7" s="1" customFormat="1" x14ac:dyDescent="0.2">
      <c r="G118" s="8"/>
    </row>
    <row r="119" spans="7:7" s="1" customFormat="1" x14ac:dyDescent="0.2">
      <c r="G119" s="8"/>
    </row>
    <row r="120" spans="7:7" s="1" customFormat="1" x14ac:dyDescent="0.2">
      <c r="G120" s="8"/>
    </row>
    <row r="121" spans="7:7" s="1" customFormat="1" x14ac:dyDescent="0.2">
      <c r="G121" s="8"/>
    </row>
    <row r="122" spans="7:7" s="1" customFormat="1" x14ac:dyDescent="0.2">
      <c r="G122" s="8"/>
    </row>
    <row r="123" spans="7:7" s="1" customFormat="1" x14ac:dyDescent="0.2">
      <c r="G123" s="8"/>
    </row>
    <row r="124" spans="7:7" s="1" customFormat="1" x14ac:dyDescent="0.2">
      <c r="G124" s="8"/>
    </row>
    <row r="125" spans="7:7" s="1" customFormat="1" x14ac:dyDescent="0.2">
      <c r="G125" s="8"/>
    </row>
    <row r="126" spans="7:7" s="1" customFormat="1" x14ac:dyDescent="0.2">
      <c r="G126" s="8"/>
    </row>
    <row r="127" spans="7:7" s="1" customFormat="1" x14ac:dyDescent="0.2">
      <c r="G127" s="8"/>
    </row>
    <row r="128" spans="7:7" s="1" customFormat="1" x14ac:dyDescent="0.2">
      <c r="G128" s="8"/>
    </row>
    <row r="129" spans="7:7" s="1" customFormat="1" x14ac:dyDescent="0.2">
      <c r="G129" s="8"/>
    </row>
    <row r="130" spans="7:7" s="1" customFormat="1" x14ac:dyDescent="0.2">
      <c r="G130" s="8"/>
    </row>
    <row r="131" spans="7:7" s="1" customFormat="1" x14ac:dyDescent="0.2">
      <c r="G131" s="8"/>
    </row>
    <row r="132" spans="7:7" s="1" customFormat="1" x14ac:dyDescent="0.2">
      <c r="G132" s="8"/>
    </row>
    <row r="133" spans="7:7" s="1" customFormat="1" x14ac:dyDescent="0.2">
      <c r="G133" s="8"/>
    </row>
    <row r="134" spans="7:7" s="1" customFormat="1" x14ac:dyDescent="0.2">
      <c r="G134" s="8"/>
    </row>
    <row r="135" spans="7:7" s="1" customFormat="1" x14ac:dyDescent="0.2">
      <c r="G135" s="8"/>
    </row>
    <row r="136" spans="7:7" s="1" customFormat="1" x14ac:dyDescent="0.2">
      <c r="G136" s="8"/>
    </row>
    <row r="137" spans="7:7" s="1" customFormat="1" x14ac:dyDescent="0.2">
      <c r="G137" s="8"/>
    </row>
    <row r="138" spans="7:7" s="1" customFormat="1" x14ac:dyDescent="0.2">
      <c r="G138" s="8"/>
    </row>
    <row r="139" spans="7:7" s="1" customFormat="1" x14ac:dyDescent="0.2">
      <c r="G139" s="8"/>
    </row>
    <row r="140" spans="7:7" s="1" customFormat="1" x14ac:dyDescent="0.2">
      <c r="G140" s="8"/>
    </row>
    <row r="141" spans="7:7" s="1" customFormat="1" x14ac:dyDescent="0.2">
      <c r="G141" s="8"/>
    </row>
    <row r="142" spans="7:7" s="1" customFormat="1" x14ac:dyDescent="0.2">
      <c r="G142" s="8"/>
    </row>
    <row r="143" spans="7:7" s="1" customFormat="1" x14ac:dyDescent="0.2">
      <c r="G143" s="8"/>
    </row>
    <row r="144" spans="7:7" s="1" customFormat="1" x14ac:dyDescent="0.2">
      <c r="G144" s="8"/>
    </row>
    <row r="145" spans="7:7" s="1" customFormat="1" x14ac:dyDescent="0.2">
      <c r="G145" s="8"/>
    </row>
    <row r="146" spans="7:7" s="1" customFormat="1" x14ac:dyDescent="0.2">
      <c r="G146" s="8"/>
    </row>
    <row r="147" spans="7:7" s="1" customFormat="1" x14ac:dyDescent="0.2">
      <c r="G147" s="8"/>
    </row>
    <row r="148" spans="7:7" s="1" customFormat="1" x14ac:dyDescent="0.2">
      <c r="G148" s="8"/>
    </row>
    <row r="149" spans="7:7" s="1" customFormat="1" x14ac:dyDescent="0.2">
      <c r="G149" s="8"/>
    </row>
    <row r="150" spans="7:7" s="1" customFormat="1" x14ac:dyDescent="0.2">
      <c r="G150" s="8"/>
    </row>
    <row r="151" spans="7:7" s="1" customFormat="1" x14ac:dyDescent="0.2">
      <c r="G151" s="8"/>
    </row>
    <row r="152" spans="7:7" s="1" customFormat="1" x14ac:dyDescent="0.2">
      <c r="G152" s="8"/>
    </row>
    <row r="153" spans="7:7" s="1" customFormat="1" x14ac:dyDescent="0.2">
      <c r="G153" s="8"/>
    </row>
    <row r="154" spans="7:7" s="1" customFormat="1" x14ac:dyDescent="0.2">
      <c r="G154" s="8"/>
    </row>
    <row r="155" spans="7:7" s="1" customFormat="1" x14ac:dyDescent="0.2">
      <c r="G155" s="8"/>
    </row>
    <row r="156" spans="7:7" s="1" customFormat="1" x14ac:dyDescent="0.2">
      <c r="G156" s="8"/>
    </row>
    <row r="157" spans="7:7" s="1" customFormat="1" x14ac:dyDescent="0.2">
      <c r="G157" s="8"/>
    </row>
    <row r="158" spans="7:7" s="1" customFormat="1" x14ac:dyDescent="0.2">
      <c r="G158" s="8"/>
    </row>
    <row r="159" spans="7:7" s="1" customFormat="1" x14ac:dyDescent="0.2">
      <c r="G159" s="8"/>
    </row>
    <row r="160" spans="7:7" s="1" customFormat="1" x14ac:dyDescent="0.2">
      <c r="G160" s="8"/>
    </row>
    <row r="161" spans="7:7" s="1" customFormat="1" x14ac:dyDescent="0.2">
      <c r="G161" s="8"/>
    </row>
    <row r="162" spans="7:7" s="1" customFormat="1" x14ac:dyDescent="0.2">
      <c r="G162" s="8"/>
    </row>
    <row r="163" spans="7:7" s="1" customFormat="1" x14ac:dyDescent="0.2">
      <c r="G163" s="8"/>
    </row>
    <row r="164" spans="7:7" s="1" customFormat="1" x14ac:dyDescent="0.2">
      <c r="G164" s="8"/>
    </row>
    <row r="165" spans="7:7" s="1" customFormat="1" x14ac:dyDescent="0.2">
      <c r="G165" s="8"/>
    </row>
    <row r="166" spans="7:7" s="1" customFormat="1" x14ac:dyDescent="0.2">
      <c r="G166" s="8"/>
    </row>
    <row r="167" spans="7:7" s="1" customFormat="1" x14ac:dyDescent="0.2">
      <c r="G167" s="8"/>
    </row>
    <row r="168" spans="7:7" s="1" customFormat="1" x14ac:dyDescent="0.2">
      <c r="G168" s="8"/>
    </row>
    <row r="169" spans="7:7" s="1" customFormat="1" x14ac:dyDescent="0.2">
      <c r="G169" s="8"/>
    </row>
    <row r="170" spans="7:7" s="1" customFormat="1" x14ac:dyDescent="0.2">
      <c r="G170" s="8"/>
    </row>
    <row r="171" spans="7:7" s="1" customFormat="1" x14ac:dyDescent="0.2">
      <c r="G171" s="8"/>
    </row>
    <row r="172" spans="7:7" s="1" customFormat="1" x14ac:dyDescent="0.2">
      <c r="G172" s="8"/>
    </row>
    <row r="173" spans="7:7" s="1" customFormat="1" x14ac:dyDescent="0.2">
      <c r="G173" s="8"/>
    </row>
    <row r="174" spans="7:7" s="1" customFormat="1" x14ac:dyDescent="0.2">
      <c r="G174" s="8"/>
    </row>
    <row r="175" spans="7:7" s="1" customFormat="1" x14ac:dyDescent="0.2">
      <c r="G175" s="8"/>
    </row>
    <row r="176" spans="7:7" s="1" customFormat="1" x14ac:dyDescent="0.2">
      <c r="G176" s="8"/>
    </row>
    <row r="177" spans="7:7" s="1" customFormat="1" x14ac:dyDescent="0.2">
      <c r="G177" s="8"/>
    </row>
    <row r="178" spans="7:7" s="1" customFormat="1" x14ac:dyDescent="0.2">
      <c r="G178" s="8"/>
    </row>
    <row r="179" spans="7:7" s="1" customFormat="1" x14ac:dyDescent="0.2">
      <c r="G179" s="8"/>
    </row>
    <row r="180" spans="7:7" s="1" customFormat="1" x14ac:dyDescent="0.2">
      <c r="G180" s="8"/>
    </row>
    <row r="181" spans="7:7" s="1" customFormat="1" x14ac:dyDescent="0.2">
      <c r="G181" s="8"/>
    </row>
    <row r="182" spans="7:7" s="1" customFormat="1" x14ac:dyDescent="0.2">
      <c r="G182" s="8"/>
    </row>
    <row r="183" spans="7:7" s="1" customFormat="1" x14ac:dyDescent="0.2">
      <c r="G183" s="8"/>
    </row>
    <row r="184" spans="7:7" s="1" customFormat="1" x14ac:dyDescent="0.2">
      <c r="G184" s="8"/>
    </row>
    <row r="185" spans="7:7" s="1" customFormat="1" x14ac:dyDescent="0.2">
      <c r="G185" s="8"/>
    </row>
    <row r="186" spans="7:7" s="1" customFormat="1" x14ac:dyDescent="0.2">
      <c r="G186" s="8"/>
    </row>
    <row r="187" spans="7:7" s="1" customFormat="1" x14ac:dyDescent="0.2">
      <c r="G187" s="8"/>
    </row>
    <row r="188" spans="7:7" s="1" customFormat="1" x14ac:dyDescent="0.2">
      <c r="G188" s="8"/>
    </row>
    <row r="189" spans="7:7" s="1" customFormat="1" x14ac:dyDescent="0.2">
      <c r="G189" s="8"/>
    </row>
    <row r="190" spans="7:7" s="1" customFormat="1" x14ac:dyDescent="0.2">
      <c r="G190" s="8"/>
    </row>
    <row r="191" spans="7:7" s="1" customFormat="1" x14ac:dyDescent="0.2">
      <c r="G191" s="8"/>
    </row>
    <row r="192" spans="7:7" s="1" customFormat="1" x14ac:dyDescent="0.2">
      <c r="G192" s="8"/>
    </row>
    <row r="193" spans="7:7" s="1" customFormat="1" x14ac:dyDescent="0.2">
      <c r="G193" s="8"/>
    </row>
    <row r="194" spans="7:7" s="1" customFormat="1" x14ac:dyDescent="0.2">
      <c r="G194" s="8"/>
    </row>
    <row r="195" spans="7:7" s="1" customFormat="1" x14ac:dyDescent="0.2">
      <c r="G195" s="8"/>
    </row>
    <row r="196" spans="7:7" s="1" customFormat="1" x14ac:dyDescent="0.2">
      <c r="G196" s="8"/>
    </row>
    <row r="197" spans="7:7" s="1" customFormat="1" x14ac:dyDescent="0.2">
      <c r="G197" s="8"/>
    </row>
    <row r="198" spans="7:7" s="1" customFormat="1" x14ac:dyDescent="0.2">
      <c r="G198" s="8"/>
    </row>
    <row r="199" spans="7:7" s="1" customFormat="1" x14ac:dyDescent="0.2">
      <c r="G199" s="8"/>
    </row>
    <row r="200" spans="7:7" s="1" customFormat="1" x14ac:dyDescent="0.2">
      <c r="G200" s="8"/>
    </row>
    <row r="201" spans="7:7" s="1" customFormat="1" x14ac:dyDescent="0.2">
      <c r="G201" s="8"/>
    </row>
    <row r="202" spans="7:7" s="1" customFormat="1" x14ac:dyDescent="0.2">
      <c r="G202" s="8"/>
    </row>
    <row r="203" spans="7:7" s="1" customFormat="1" x14ac:dyDescent="0.2">
      <c r="G203" s="8"/>
    </row>
    <row r="204" spans="7:7" s="1" customFormat="1" x14ac:dyDescent="0.2">
      <c r="G204" s="8"/>
    </row>
    <row r="205" spans="7:7" s="1" customFormat="1" x14ac:dyDescent="0.2">
      <c r="G205" s="8"/>
    </row>
    <row r="206" spans="7:7" s="1" customFormat="1" x14ac:dyDescent="0.2">
      <c r="G206" s="8"/>
    </row>
    <row r="207" spans="7:7" s="1" customFormat="1" x14ac:dyDescent="0.2">
      <c r="G207" s="8"/>
    </row>
    <row r="208" spans="7:7" s="1" customFormat="1" x14ac:dyDescent="0.2">
      <c r="G208" s="8"/>
    </row>
    <row r="209" spans="7:7" s="1" customFormat="1" x14ac:dyDescent="0.2">
      <c r="G209" s="8"/>
    </row>
    <row r="210" spans="7:7" s="1" customFormat="1" x14ac:dyDescent="0.2">
      <c r="G210" s="8"/>
    </row>
    <row r="211" spans="7:7" s="1" customFormat="1" x14ac:dyDescent="0.2">
      <c r="G211" s="8"/>
    </row>
    <row r="212" spans="7:7" s="1" customFormat="1" x14ac:dyDescent="0.2">
      <c r="G212" s="8"/>
    </row>
    <row r="213" spans="7:7" s="1" customFormat="1" x14ac:dyDescent="0.2">
      <c r="G213" s="8"/>
    </row>
    <row r="214" spans="7:7" s="1" customFormat="1" x14ac:dyDescent="0.2">
      <c r="G214" s="8"/>
    </row>
    <row r="215" spans="7:7" s="1" customFormat="1" x14ac:dyDescent="0.2">
      <c r="G215" s="8"/>
    </row>
    <row r="216" spans="7:7" s="1" customFormat="1" x14ac:dyDescent="0.2">
      <c r="G216" s="8"/>
    </row>
    <row r="217" spans="7:7" s="1" customFormat="1" x14ac:dyDescent="0.2">
      <c r="G217" s="8"/>
    </row>
    <row r="218" spans="7:7" s="1" customFormat="1" x14ac:dyDescent="0.2">
      <c r="G218" s="8"/>
    </row>
    <row r="219" spans="7:7" s="1" customFormat="1" x14ac:dyDescent="0.2">
      <c r="G219" s="8"/>
    </row>
    <row r="220" spans="7:7" s="1" customFormat="1" x14ac:dyDescent="0.2">
      <c r="G220" s="8"/>
    </row>
    <row r="221" spans="7:7" s="1" customFormat="1" x14ac:dyDescent="0.2">
      <c r="G221" s="8"/>
    </row>
    <row r="222" spans="7:7" s="1" customFormat="1" x14ac:dyDescent="0.2">
      <c r="G222" s="8"/>
    </row>
    <row r="223" spans="7:7" s="1" customFormat="1" x14ac:dyDescent="0.2">
      <c r="G223" s="8"/>
    </row>
    <row r="224" spans="7:7" s="1" customFormat="1" x14ac:dyDescent="0.2">
      <c r="G224" s="8"/>
    </row>
    <row r="225" spans="7:7" s="1" customFormat="1" x14ac:dyDescent="0.2">
      <c r="G225" s="8"/>
    </row>
    <row r="226" spans="7:7" s="1" customFormat="1" x14ac:dyDescent="0.2">
      <c r="G226" s="8"/>
    </row>
    <row r="227" spans="7:7" s="1" customFormat="1" x14ac:dyDescent="0.2">
      <c r="G227" s="8"/>
    </row>
    <row r="228" spans="7:7" s="1" customFormat="1" x14ac:dyDescent="0.2">
      <c r="G228" s="8"/>
    </row>
    <row r="229" spans="7:7" s="1" customFormat="1" x14ac:dyDescent="0.2">
      <c r="G229" s="8"/>
    </row>
    <row r="230" spans="7:7" s="1" customFormat="1" x14ac:dyDescent="0.2">
      <c r="G230" s="8"/>
    </row>
    <row r="231" spans="7:7" s="1" customFormat="1" x14ac:dyDescent="0.2">
      <c r="G231" s="8"/>
    </row>
    <row r="232" spans="7:7" s="1" customFormat="1" x14ac:dyDescent="0.2">
      <c r="G232" s="8"/>
    </row>
    <row r="233" spans="7:7" s="1" customFormat="1" x14ac:dyDescent="0.2">
      <c r="G233" s="8"/>
    </row>
    <row r="234" spans="7:7" s="1" customFormat="1" x14ac:dyDescent="0.2">
      <c r="G234" s="8"/>
    </row>
    <row r="235" spans="7:7" s="1" customFormat="1" x14ac:dyDescent="0.2">
      <c r="G235" s="8"/>
    </row>
    <row r="236" spans="7:7" s="1" customFormat="1" x14ac:dyDescent="0.2">
      <c r="G236" s="8"/>
    </row>
    <row r="237" spans="7:7" s="1" customFormat="1" x14ac:dyDescent="0.2">
      <c r="G237" s="8"/>
    </row>
    <row r="238" spans="7:7" s="1" customFormat="1" x14ac:dyDescent="0.2">
      <c r="G238" s="8"/>
    </row>
    <row r="239" spans="7:7" s="1" customFormat="1" x14ac:dyDescent="0.2">
      <c r="G239" s="8"/>
    </row>
    <row r="240" spans="7:7" s="1" customFormat="1" x14ac:dyDescent="0.2">
      <c r="G240" s="8"/>
    </row>
    <row r="241" spans="7:7" s="1" customFormat="1" x14ac:dyDescent="0.2">
      <c r="G241" s="8"/>
    </row>
    <row r="242" spans="7:7" s="1" customFormat="1" x14ac:dyDescent="0.2">
      <c r="G242" s="8"/>
    </row>
    <row r="243" spans="7:7" s="1" customFormat="1" x14ac:dyDescent="0.2">
      <c r="G243" s="8"/>
    </row>
    <row r="244" spans="7:7" s="1" customFormat="1" x14ac:dyDescent="0.2">
      <c r="G244" s="8"/>
    </row>
    <row r="245" spans="7:7" s="1" customFormat="1" x14ac:dyDescent="0.2">
      <c r="G245" s="8"/>
    </row>
    <row r="246" spans="7:7" s="1" customFormat="1" x14ac:dyDescent="0.2">
      <c r="G246" s="8"/>
    </row>
    <row r="247" spans="7:7" s="1" customFormat="1" x14ac:dyDescent="0.2">
      <c r="G247" s="8"/>
    </row>
    <row r="248" spans="7:7" s="1" customFormat="1" x14ac:dyDescent="0.2">
      <c r="G248" s="8"/>
    </row>
    <row r="249" spans="7:7" s="1" customFormat="1" x14ac:dyDescent="0.2">
      <c r="G249" s="8"/>
    </row>
    <row r="250" spans="7:7" s="1" customFormat="1" x14ac:dyDescent="0.2">
      <c r="G250" s="8"/>
    </row>
    <row r="251" spans="7:7" s="1" customFormat="1" x14ac:dyDescent="0.2">
      <c r="G251" s="8"/>
    </row>
    <row r="252" spans="7:7" s="1" customFormat="1" x14ac:dyDescent="0.2">
      <c r="G252" s="8"/>
    </row>
    <row r="253" spans="7:7" s="1" customFormat="1" x14ac:dyDescent="0.2">
      <c r="G253" s="8"/>
    </row>
    <row r="254" spans="7:7" s="1" customFormat="1" x14ac:dyDescent="0.2">
      <c r="G254" s="8"/>
    </row>
    <row r="255" spans="7:7" s="1" customFormat="1" x14ac:dyDescent="0.2">
      <c r="G255" s="8"/>
    </row>
    <row r="256" spans="7:7" s="1" customFormat="1" x14ac:dyDescent="0.2">
      <c r="G256" s="8"/>
    </row>
    <row r="257" spans="7:7" s="1" customFormat="1" x14ac:dyDescent="0.2">
      <c r="G257" s="8"/>
    </row>
    <row r="258" spans="7:7" s="1" customFormat="1" x14ac:dyDescent="0.2">
      <c r="G258" s="8"/>
    </row>
    <row r="259" spans="7:7" s="1" customFormat="1" x14ac:dyDescent="0.2">
      <c r="G259" s="8"/>
    </row>
    <row r="260" spans="7:7" s="1" customFormat="1" x14ac:dyDescent="0.2">
      <c r="G260" s="8"/>
    </row>
    <row r="261" spans="7:7" s="1" customFormat="1" x14ac:dyDescent="0.2">
      <c r="G261" s="8"/>
    </row>
    <row r="262" spans="7:7" s="1" customFormat="1" x14ac:dyDescent="0.2">
      <c r="G262" s="8"/>
    </row>
    <row r="263" spans="7:7" s="1" customFormat="1" x14ac:dyDescent="0.2">
      <c r="G263" s="8"/>
    </row>
    <row r="264" spans="7:7" s="1" customFormat="1" x14ac:dyDescent="0.2">
      <c r="G264" s="8"/>
    </row>
    <row r="265" spans="7:7" s="1" customFormat="1" x14ac:dyDescent="0.2">
      <c r="G265" s="8"/>
    </row>
    <row r="266" spans="7:7" s="1" customFormat="1" x14ac:dyDescent="0.2">
      <c r="G266" s="8"/>
    </row>
    <row r="267" spans="7:7" s="1" customFormat="1" x14ac:dyDescent="0.2">
      <c r="G267" s="8"/>
    </row>
    <row r="268" spans="7:7" s="1" customFormat="1" x14ac:dyDescent="0.2">
      <c r="G268" s="8"/>
    </row>
    <row r="269" spans="7:7" s="1" customFormat="1" x14ac:dyDescent="0.2">
      <c r="G269" s="8"/>
    </row>
    <row r="270" spans="7:7" s="1" customFormat="1" x14ac:dyDescent="0.2">
      <c r="G270" s="8"/>
    </row>
    <row r="271" spans="7:7" s="1" customFormat="1" x14ac:dyDescent="0.2">
      <c r="G271" s="8"/>
    </row>
    <row r="272" spans="7:7" s="1" customFormat="1" x14ac:dyDescent="0.2">
      <c r="G272" s="8"/>
    </row>
    <row r="273" spans="7:7" s="1" customFormat="1" x14ac:dyDescent="0.2">
      <c r="G273" s="8"/>
    </row>
    <row r="274" spans="7:7" s="1" customFormat="1" x14ac:dyDescent="0.2">
      <c r="G274" s="8"/>
    </row>
    <row r="275" spans="7:7" s="1" customFormat="1" x14ac:dyDescent="0.2">
      <c r="G275" s="8"/>
    </row>
    <row r="276" spans="7:7" s="1" customFormat="1" x14ac:dyDescent="0.2">
      <c r="G276" s="8"/>
    </row>
    <row r="277" spans="7:7" s="1" customFormat="1" x14ac:dyDescent="0.2">
      <c r="G277" s="8"/>
    </row>
    <row r="278" spans="7:7" s="1" customFormat="1" x14ac:dyDescent="0.2">
      <c r="G278" s="8"/>
    </row>
    <row r="279" spans="7:7" s="1" customFormat="1" x14ac:dyDescent="0.2">
      <c r="G279" s="8"/>
    </row>
    <row r="280" spans="7:7" s="1" customFormat="1" x14ac:dyDescent="0.2">
      <c r="G280" s="8"/>
    </row>
    <row r="281" spans="7:7" s="1" customFormat="1" x14ac:dyDescent="0.2">
      <c r="G281" s="8"/>
    </row>
    <row r="282" spans="7:7" s="1" customFormat="1" x14ac:dyDescent="0.2">
      <c r="G282" s="8"/>
    </row>
    <row r="283" spans="7:7" s="1" customFormat="1" x14ac:dyDescent="0.2">
      <c r="G283" s="8"/>
    </row>
    <row r="284" spans="7:7" s="1" customFormat="1" x14ac:dyDescent="0.2">
      <c r="G284" s="8"/>
    </row>
    <row r="285" spans="7:7" s="1" customFormat="1" x14ac:dyDescent="0.2">
      <c r="G285" s="8"/>
    </row>
    <row r="286" spans="7:7" s="1" customFormat="1" x14ac:dyDescent="0.2">
      <c r="G286" s="8"/>
    </row>
    <row r="287" spans="7:7" s="1" customFormat="1" x14ac:dyDescent="0.2">
      <c r="G287" s="8"/>
    </row>
    <row r="288" spans="7:7" s="1" customFormat="1" x14ac:dyDescent="0.2">
      <c r="G288" s="8"/>
    </row>
    <row r="289" spans="7:7" s="1" customFormat="1" x14ac:dyDescent="0.2">
      <c r="G289" s="8"/>
    </row>
    <row r="290" spans="7:7" s="1" customFormat="1" x14ac:dyDescent="0.2">
      <c r="G290" s="8"/>
    </row>
    <row r="291" spans="7:7" s="1" customFormat="1" x14ac:dyDescent="0.2">
      <c r="G291" s="8"/>
    </row>
    <row r="292" spans="7:7" s="1" customFormat="1" x14ac:dyDescent="0.2">
      <c r="G292" s="8"/>
    </row>
    <row r="293" spans="7:7" s="1" customFormat="1" x14ac:dyDescent="0.2">
      <c r="G293" s="8"/>
    </row>
    <row r="294" spans="7:7" s="1" customFormat="1" x14ac:dyDescent="0.2">
      <c r="G294" s="8"/>
    </row>
    <row r="295" spans="7:7" s="1" customFormat="1" x14ac:dyDescent="0.2">
      <c r="G295" s="8"/>
    </row>
    <row r="296" spans="7:7" s="1" customFormat="1" x14ac:dyDescent="0.2">
      <c r="G296" s="8"/>
    </row>
    <row r="297" spans="7:7" s="1" customFormat="1" x14ac:dyDescent="0.2">
      <c r="G297" s="8"/>
    </row>
    <row r="298" spans="7:7" s="1" customFormat="1" x14ac:dyDescent="0.2">
      <c r="G298" s="8"/>
    </row>
    <row r="299" spans="7:7" s="1" customFormat="1" x14ac:dyDescent="0.2">
      <c r="G299" s="8"/>
    </row>
    <row r="300" spans="7:7" s="1" customFormat="1" x14ac:dyDescent="0.2">
      <c r="G300" s="8"/>
    </row>
    <row r="301" spans="7:7" s="1" customFormat="1" x14ac:dyDescent="0.2">
      <c r="G301" s="8"/>
    </row>
    <row r="302" spans="7:7" s="1" customFormat="1" x14ac:dyDescent="0.2">
      <c r="G302" s="8"/>
    </row>
    <row r="303" spans="7:7" s="1" customFormat="1" x14ac:dyDescent="0.2">
      <c r="G303" s="8"/>
    </row>
    <row r="304" spans="7:7" s="1" customFormat="1" x14ac:dyDescent="0.2">
      <c r="G304" s="8"/>
    </row>
    <row r="305" spans="7:7" s="1" customFormat="1" x14ac:dyDescent="0.2">
      <c r="G305" s="8"/>
    </row>
    <row r="306" spans="7:7" s="1" customFormat="1" x14ac:dyDescent="0.2">
      <c r="G306" s="8"/>
    </row>
    <row r="307" spans="7:7" s="1" customFormat="1" x14ac:dyDescent="0.2">
      <c r="G307" s="8"/>
    </row>
    <row r="308" spans="7:7" s="1" customFormat="1" x14ac:dyDescent="0.2">
      <c r="G308" s="8"/>
    </row>
    <row r="309" spans="7:7" s="1" customFormat="1" x14ac:dyDescent="0.2">
      <c r="G309" s="8"/>
    </row>
    <row r="310" spans="7:7" s="1" customFormat="1" x14ac:dyDescent="0.2">
      <c r="G310" s="8"/>
    </row>
    <row r="311" spans="7:7" s="1" customFormat="1" x14ac:dyDescent="0.2">
      <c r="G311" s="8"/>
    </row>
    <row r="312" spans="7:7" s="1" customFormat="1" x14ac:dyDescent="0.2">
      <c r="G312" s="8"/>
    </row>
    <row r="313" spans="7:7" s="1" customFormat="1" x14ac:dyDescent="0.2">
      <c r="G313" s="8"/>
    </row>
    <row r="314" spans="7:7" s="1" customFormat="1" x14ac:dyDescent="0.2">
      <c r="G314" s="8"/>
    </row>
    <row r="315" spans="7:7" s="1" customFormat="1" x14ac:dyDescent="0.2">
      <c r="G315" s="8"/>
    </row>
    <row r="316" spans="7:7" s="1" customFormat="1" x14ac:dyDescent="0.2">
      <c r="G316" s="8"/>
    </row>
    <row r="317" spans="7:7" s="1" customFormat="1" x14ac:dyDescent="0.2">
      <c r="G317" s="8"/>
    </row>
    <row r="318" spans="7:7" s="1" customFormat="1" x14ac:dyDescent="0.2">
      <c r="G318" s="8"/>
    </row>
    <row r="319" spans="7:7" s="1" customFormat="1" x14ac:dyDescent="0.2">
      <c r="G319" s="8"/>
    </row>
    <row r="320" spans="7:7" s="1" customFormat="1" x14ac:dyDescent="0.2">
      <c r="G320" s="8"/>
    </row>
    <row r="321" spans="7:7" s="1" customFormat="1" x14ac:dyDescent="0.2">
      <c r="G321" s="8"/>
    </row>
    <row r="322" spans="7:7" s="1" customFormat="1" x14ac:dyDescent="0.2">
      <c r="G322" s="8"/>
    </row>
    <row r="323" spans="7:7" s="1" customFormat="1" x14ac:dyDescent="0.2">
      <c r="G323" s="8"/>
    </row>
    <row r="324" spans="7:7" s="1" customFormat="1" x14ac:dyDescent="0.2">
      <c r="G324" s="8"/>
    </row>
    <row r="325" spans="7:7" s="1" customFormat="1" x14ac:dyDescent="0.2">
      <c r="G325" s="8"/>
    </row>
    <row r="326" spans="7:7" s="1" customFormat="1" x14ac:dyDescent="0.2">
      <c r="G326" s="8"/>
    </row>
    <row r="327" spans="7:7" s="1" customFormat="1" x14ac:dyDescent="0.2">
      <c r="G327" s="8"/>
    </row>
    <row r="328" spans="7:7" s="1" customFormat="1" x14ac:dyDescent="0.2">
      <c r="G328" s="8"/>
    </row>
    <row r="329" spans="7:7" s="1" customFormat="1" x14ac:dyDescent="0.2">
      <c r="G329" s="8"/>
    </row>
    <row r="330" spans="7:7" s="1" customFormat="1" x14ac:dyDescent="0.2">
      <c r="G330" s="8"/>
    </row>
    <row r="331" spans="7:7" s="1" customFormat="1" x14ac:dyDescent="0.2">
      <c r="G331" s="8"/>
    </row>
    <row r="332" spans="7:7" s="1" customFormat="1" x14ac:dyDescent="0.2">
      <c r="G332" s="8"/>
    </row>
    <row r="333" spans="7:7" s="1" customFormat="1" x14ac:dyDescent="0.2">
      <c r="G333" s="8"/>
    </row>
    <row r="334" spans="7:7" s="1" customFormat="1" x14ac:dyDescent="0.2">
      <c r="G334" s="8"/>
    </row>
    <row r="335" spans="7:7" s="1" customFormat="1" x14ac:dyDescent="0.2">
      <c r="G335" s="8"/>
    </row>
    <row r="336" spans="7:7" s="1" customFormat="1" x14ac:dyDescent="0.2">
      <c r="G336" s="8"/>
    </row>
    <row r="337" spans="7:7" s="1" customFormat="1" x14ac:dyDescent="0.2">
      <c r="G337" s="8"/>
    </row>
    <row r="338" spans="7:7" s="1" customFormat="1" x14ac:dyDescent="0.2">
      <c r="G338" s="8"/>
    </row>
    <row r="339" spans="7:7" s="1" customFormat="1" x14ac:dyDescent="0.2">
      <c r="G339" s="8"/>
    </row>
    <row r="340" spans="7:7" s="1" customFormat="1" x14ac:dyDescent="0.2">
      <c r="G340" s="8"/>
    </row>
    <row r="341" spans="7:7" s="1" customFormat="1" x14ac:dyDescent="0.2">
      <c r="G341" s="8"/>
    </row>
    <row r="342" spans="7:7" s="1" customFormat="1" x14ac:dyDescent="0.2">
      <c r="G342" s="8"/>
    </row>
    <row r="343" spans="7:7" s="1" customFormat="1" x14ac:dyDescent="0.2">
      <c r="G343" s="8"/>
    </row>
    <row r="344" spans="7:7" s="1" customFormat="1" x14ac:dyDescent="0.2">
      <c r="G344" s="8"/>
    </row>
    <row r="345" spans="7:7" s="1" customFormat="1" x14ac:dyDescent="0.2">
      <c r="G345" s="8"/>
    </row>
    <row r="346" spans="7:7" s="1" customFormat="1" x14ac:dyDescent="0.2">
      <c r="G346" s="8"/>
    </row>
    <row r="347" spans="7:7" s="1" customFormat="1" x14ac:dyDescent="0.2">
      <c r="G347" s="8"/>
    </row>
    <row r="348" spans="7:7" s="1" customFormat="1" x14ac:dyDescent="0.2">
      <c r="G348" s="8"/>
    </row>
    <row r="349" spans="7:7" s="1" customFormat="1" x14ac:dyDescent="0.2">
      <c r="G349" s="8"/>
    </row>
    <row r="350" spans="7:7" s="1" customFormat="1" x14ac:dyDescent="0.2">
      <c r="G350" s="8"/>
    </row>
    <row r="351" spans="7:7" s="1" customFormat="1" x14ac:dyDescent="0.2">
      <c r="G351" s="8"/>
    </row>
    <row r="352" spans="7:7" s="1" customFormat="1" x14ac:dyDescent="0.2">
      <c r="G352" s="8"/>
    </row>
    <row r="353" spans="7:7" s="1" customFormat="1" x14ac:dyDescent="0.2">
      <c r="G353" s="8"/>
    </row>
    <row r="354" spans="7:7" s="1" customFormat="1" x14ac:dyDescent="0.2">
      <c r="G354" s="8"/>
    </row>
    <row r="355" spans="7:7" s="1" customFormat="1" x14ac:dyDescent="0.2">
      <c r="G355" s="8"/>
    </row>
    <row r="356" spans="7:7" s="1" customFormat="1" x14ac:dyDescent="0.2">
      <c r="G356" s="8"/>
    </row>
    <row r="357" spans="7:7" s="1" customFormat="1" x14ac:dyDescent="0.2">
      <c r="G357" s="8"/>
    </row>
    <row r="358" spans="7:7" s="1" customFormat="1" x14ac:dyDescent="0.2">
      <c r="G358" s="8"/>
    </row>
    <row r="359" spans="7:7" s="1" customFormat="1" x14ac:dyDescent="0.2">
      <c r="G359" s="8"/>
    </row>
    <row r="360" spans="7:7" s="1" customFormat="1" x14ac:dyDescent="0.2">
      <c r="G360" s="8"/>
    </row>
    <row r="361" spans="7:7" s="1" customFormat="1" x14ac:dyDescent="0.2">
      <c r="G361" s="8"/>
    </row>
    <row r="362" spans="7:7" s="1" customFormat="1" x14ac:dyDescent="0.2">
      <c r="G362" s="8"/>
    </row>
    <row r="363" spans="7:7" s="1" customFormat="1" x14ac:dyDescent="0.2">
      <c r="G363" s="8"/>
    </row>
    <row r="364" spans="7:7" s="1" customFormat="1" x14ac:dyDescent="0.2">
      <c r="G364" s="8"/>
    </row>
    <row r="365" spans="7:7" s="1" customFormat="1" x14ac:dyDescent="0.2">
      <c r="G365" s="8"/>
    </row>
    <row r="366" spans="7:7" s="1" customFormat="1" x14ac:dyDescent="0.2">
      <c r="G366" s="8"/>
    </row>
    <row r="367" spans="7:7" s="1" customFormat="1" x14ac:dyDescent="0.2">
      <c r="G367" s="8"/>
    </row>
    <row r="368" spans="7:7" s="1" customFormat="1" x14ac:dyDescent="0.2">
      <c r="G368" s="8"/>
    </row>
    <row r="369" spans="7:7" s="1" customFormat="1" x14ac:dyDescent="0.2">
      <c r="G369" s="8"/>
    </row>
    <row r="370" spans="7:7" s="1" customFormat="1" x14ac:dyDescent="0.2">
      <c r="G370" s="8"/>
    </row>
    <row r="371" spans="7:7" s="1" customFormat="1" x14ac:dyDescent="0.2">
      <c r="G371" s="8"/>
    </row>
    <row r="372" spans="7:7" s="1" customFormat="1" x14ac:dyDescent="0.2">
      <c r="G372" s="8"/>
    </row>
    <row r="373" spans="7:7" s="1" customFormat="1" x14ac:dyDescent="0.2">
      <c r="G373" s="8"/>
    </row>
  </sheetData>
  <mergeCells count="90">
    <mergeCell ref="C48:D48"/>
    <mergeCell ref="C49:D49"/>
    <mergeCell ref="G13:G14"/>
    <mergeCell ref="C25:P25"/>
    <mergeCell ref="G26:M26"/>
    <mergeCell ref="C28:G28"/>
    <mergeCell ref="C26:F26"/>
    <mergeCell ref="I13:K14"/>
    <mergeCell ref="L13:N14"/>
    <mergeCell ref="O13:Q14"/>
    <mergeCell ref="A46:B46"/>
    <mergeCell ref="C46:D46"/>
    <mergeCell ref="E46:F46"/>
    <mergeCell ref="A47:B47"/>
    <mergeCell ref="C47:D47"/>
    <mergeCell ref="E47:F47"/>
    <mergeCell ref="A44:B44"/>
    <mergeCell ref="C44:D44"/>
    <mergeCell ref="E44:F44"/>
    <mergeCell ref="A45:B45"/>
    <mergeCell ref="C45:D45"/>
    <mergeCell ref="E45:F45"/>
    <mergeCell ref="A42:B42"/>
    <mergeCell ref="C42:D42"/>
    <mergeCell ref="E42:F42"/>
    <mergeCell ref="A43:B43"/>
    <mergeCell ref="C43:D43"/>
    <mergeCell ref="E43:F43"/>
    <mergeCell ref="A40:B40"/>
    <mergeCell ref="C40:D40"/>
    <mergeCell ref="E40:F40"/>
    <mergeCell ref="A41:B41"/>
    <mergeCell ref="C41:D41"/>
    <mergeCell ref="E41:F41"/>
    <mergeCell ref="A38:B38"/>
    <mergeCell ref="C38:D38"/>
    <mergeCell ref="E38:F38"/>
    <mergeCell ref="A39:B39"/>
    <mergeCell ref="C39:D39"/>
    <mergeCell ref="E39:F39"/>
    <mergeCell ref="A36:B36"/>
    <mergeCell ref="A37:B37"/>
    <mergeCell ref="C37:D37"/>
    <mergeCell ref="E37:F37"/>
    <mergeCell ref="C36:D36"/>
    <mergeCell ref="E36:F36"/>
    <mergeCell ref="A34:B34"/>
    <mergeCell ref="A35:B35"/>
    <mergeCell ref="C34:D34"/>
    <mergeCell ref="E34:F34"/>
    <mergeCell ref="C35:D35"/>
    <mergeCell ref="E35:F35"/>
    <mergeCell ref="A32:B32"/>
    <mergeCell ref="A33:B33"/>
    <mergeCell ref="C33:P33"/>
    <mergeCell ref="C30:P30"/>
    <mergeCell ref="C31:P31"/>
    <mergeCell ref="C32:P32"/>
    <mergeCell ref="A22:B22"/>
    <mergeCell ref="C22:F22"/>
    <mergeCell ref="A25:B25"/>
    <mergeCell ref="A31:B31"/>
    <mergeCell ref="A28:B28"/>
    <mergeCell ref="A26:B26"/>
    <mergeCell ref="A30:B30"/>
    <mergeCell ref="A19:B19"/>
    <mergeCell ref="C19:F19"/>
    <mergeCell ref="A20:B20"/>
    <mergeCell ref="C20:F20"/>
    <mergeCell ref="A21:B21"/>
    <mergeCell ref="C21:F21"/>
    <mergeCell ref="A18:B18"/>
    <mergeCell ref="C18:F18"/>
    <mergeCell ref="A13:B14"/>
    <mergeCell ref="C13:F14"/>
    <mergeCell ref="A16:B16"/>
    <mergeCell ref="C16:F16"/>
    <mergeCell ref="C15:F15"/>
    <mergeCell ref="A17:B17"/>
    <mergeCell ref="C17:F17"/>
    <mergeCell ref="I4:K4"/>
    <mergeCell ref="A4:F4"/>
    <mergeCell ref="L4:O4"/>
    <mergeCell ref="L8:P8"/>
    <mergeCell ref="A12:F12"/>
    <mergeCell ref="I12:Q12"/>
    <mergeCell ref="I9:K9"/>
    <mergeCell ref="L9:O9"/>
    <mergeCell ref="L10:O10"/>
    <mergeCell ref="I10:K10"/>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16" max="17" man="1"/>
    <brk id="35" max="15" man="1"/>
  </rowBreaks>
  <drawing r:id="rId2"/>
  <legacyDrawing r:id="rId3"/>
  <oleObjects>
    <mc:AlternateContent xmlns:mc="http://schemas.openxmlformats.org/markup-compatibility/2006">
      <mc:Choice Requires="x14">
        <oleObject progId="Word.Document.8" shapeId="2054" r:id="rId4">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4" r:id="rId4"/>
      </mc:Fallback>
    </mc:AlternateContent>
    <mc:AlternateContent xmlns:mc="http://schemas.openxmlformats.org/markup-compatibility/2006">
      <mc:Choice Requires="x14">
        <oleObject progId="Word.Document.8" shapeId="2057" r:id="rId6">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7"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BE371"/>
  <sheetViews>
    <sheetView showGridLines="0" zoomScale="85" zoomScaleNormal="85" workbookViewId="0">
      <selection activeCell="G12" sqref="G12"/>
    </sheetView>
  </sheetViews>
  <sheetFormatPr defaultColWidth="11.42578125" defaultRowHeight="12.75" x14ac:dyDescent="0.2"/>
  <cols>
    <col min="1" max="5" width="2.7109375" style="115" customWidth="1"/>
    <col min="6" max="6" width="4.85546875" style="115" customWidth="1"/>
    <col min="7" max="7" width="42.7109375" style="152" customWidth="1"/>
    <col min="8" max="8" width="2.7109375" style="115" customWidth="1"/>
    <col min="9" max="9" width="10.28515625" style="115" customWidth="1"/>
    <col min="10" max="10" width="36.140625" style="115" customWidth="1"/>
    <col min="11" max="11" width="5.7109375" style="115" bestFit="1" customWidth="1"/>
    <col min="12" max="12" width="38.140625" style="115" customWidth="1"/>
    <col min="13" max="13" width="5.7109375" style="115" bestFit="1" customWidth="1"/>
    <col min="14" max="14" width="18.85546875" style="115" customWidth="1"/>
    <col min="15" max="15" width="5.7109375" style="115" bestFit="1" customWidth="1"/>
    <col min="16" max="16" width="18.85546875" style="115" customWidth="1"/>
    <col min="17" max="17" width="5.7109375" style="115" bestFit="1" customWidth="1"/>
    <col min="18" max="18" width="18.85546875" style="115" customWidth="1"/>
    <col min="19" max="19" width="5.7109375" style="115" bestFit="1" customWidth="1"/>
    <col min="20" max="20" width="18.85546875" style="115" customWidth="1"/>
    <col min="21" max="23" width="11.42578125" style="115" customWidth="1"/>
    <col min="24" max="25" width="11.42578125" style="115" hidden="1" customWidth="1"/>
    <col min="26" max="31" width="21.28515625" style="115" hidden="1" customWidth="1"/>
    <col min="32" max="16384" width="11.42578125" style="115"/>
  </cols>
  <sheetData>
    <row r="1" spans="1:57" ht="18" x14ac:dyDescent="0.25">
      <c r="A1" s="114"/>
      <c r="B1" s="114"/>
      <c r="C1" s="114"/>
      <c r="D1" s="114"/>
      <c r="E1" s="114"/>
      <c r="F1" s="114"/>
      <c r="G1" s="317" t="s">
        <v>161</v>
      </c>
    </row>
    <row r="2" spans="1:57" ht="6.75" customHeight="1" x14ac:dyDescent="0.25">
      <c r="A2" s="114"/>
      <c r="B2" s="114"/>
      <c r="C2" s="114"/>
      <c r="D2" s="114"/>
      <c r="E2" s="114"/>
      <c r="F2" s="114"/>
      <c r="G2" s="317"/>
    </row>
    <row r="3" spans="1:57" ht="18" x14ac:dyDescent="0.25">
      <c r="A3" s="114"/>
      <c r="B3" s="114"/>
      <c r="C3" s="114"/>
      <c r="D3" s="114"/>
      <c r="E3" s="114"/>
      <c r="F3" s="114"/>
      <c r="G3" s="317"/>
      <c r="I3" s="512" t="s">
        <v>19</v>
      </c>
      <c r="J3" s="513"/>
      <c r="K3" s="514"/>
      <c r="L3" s="515"/>
      <c r="M3" s="515"/>
      <c r="N3" s="515"/>
      <c r="O3" s="515"/>
    </row>
    <row r="4" spans="1:57" ht="14.25" customHeight="1" x14ac:dyDescent="0.2">
      <c r="A4" s="116"/>
      <c r="B4" s="116"/>
      <c r="C4" s="116"/>
      <c r="D4" s="116"/>
      <c r="E4" s="116"/>
      <c r="F4" s="116"/>
      <c r="G4" s="117"/>
      <c r="H4" s="116"/>
      <c r="I4" s="512" t="s">
        <v>9</v>
      </c>
      <c r="J4" s="513"/>
      <c r="K4" s="514"/>
      <c r="L4" s="516"/>
      <c r="M4" s="516"/>
      <c r="N4" s="516"/>
      <c r="O4" s="51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row>
    <row r="5" spans="1:57" ht="13.5" thickBot="1" x14ac:dyDescent="0.25">
      <c r="A5" s="125"/>
      <c r="B5" s="125"/>
      <c r="C5" s="125"/>
      <c r="D5" s="125"/>
      <c r="E5" s="125"/>
      <c r="F5" s="125"/>
      <c r="G5" s="126"/>
      <c r="H5" s="123"/>
      <c r="L5" s="127"/>
      <c r="M5" s="116"/>
      <c r="N5" s="127"/>
      <c r="O5" s="116"/>
      <c r="P5" s="127"/>
      <c r="Q5" s="116"/>
      <c r="R5" s="127"/>
      <c r="S5" s="116"/>
      <c r="T5" s="127"/>
      <c r="U5" s="116"/>
      <c r="V5" s="116"/>
      <c r="W5" s="116"/>
      <c r="X5" s="116"/>
      <c r="Y5" s="116"/>
      <c r="Z5" s="116"/>
      <c r="AA5" s="116"/>
      <c r="AB5" s="116"/>
      <c r="AC5" s="116"/>
      <c r="AD5" s="116"/>
      <c r="AE5" s="116"/>
    </row>
    <row r="6" spans="1:57" ht="13.5" thickBot="1" x14ac:dyDescent="0.25">
      <c r="A6" s="488" t="s">
        <v>9</v>
      </c>
      <c r="B6" s="489"/>
      <c r="C6" s="489"/>
      <c r="D6" s="489"/>
      <c r="E6" s="489"/>
      <c r="F6" s="490"/>
      <c r="G6" s="189"/>
      <c r="H6" s="116"/>
      <c r="I6" s="485" t="s">
        <v>8</v>
      </c>
      <c r="J6" s="486"/>
      <c r="K6" s="486"/>
      <c r="L6" s="486"/>
      <c r="M6" s="486"/>
      <c r="N6" s="486"/>
      <c r="O6" s="486"/>
      <c r="P6" s="486"/>
      <c r="Q6" s="486"/>
      <c r="R6" s="486"/>
      <c r="S6" s="486"/>
      <c r="T6" s="487"/>
      <c r="U6" s="116"/>
      <c r="V6" s="116"/>
      <c r="W6" s="116"/>
      <c r="X6" s="116"/>
      <c r="Y6" s="116"/>
      <c r="Z6" s="116"/>
      <c r="AA6" s="116"/>
      <c r="AB6" s="116"/>
      <c r="AC6" s="116"/>
      <c r="AD6" s="116"/>
      <c r="AE6" s="116"/>
    </row>
    <row r="7" spans="1:57" ht="13.5" customHeight="1" thickBot="1" x14ac:dyDescent="0.25">
      <c r="A7" s="491" t="s">
        <v>1</v>
      </c>
      <c r="B7" s="492"/>
      <c r="C7" s="495" t="s">
        <v>10</v>
      </c>
      <c r="D7" s="496"/>
      <c r="E7" s="496"/>
      <c r="F7" s="492"/>
      <c r="G7" s="517" t="s">
        <v>4</v>
      </c>
      <c r="H7" s="116"/>
      <c r="I7" s="484" t="s">
        <v>194</v>
      </c>
      <c r="J7" s="484"/>
      <c r="K7" s="484" t="s">
        <v>193</v>
      </c>
      <c r="L7" s="484"/>
      <c r="M7" s="484" t="s">
        <v>7</v>
      </c>
      <c r="N7" s="484"/>
      <c r="O7" s="484" t="s">
        <v>73</v>
      </c>
      <c r="P7" s="484"/>
      <c r="Q7" s="484" t="s">
        <v>72</v>
      </c>
      <c r="R7" s="484"/>
      <c r="S7" s="484" t="s">
        <v>71</v>
      </c>
      <c r="T7" s="484"/>
      <c r="U7" s="116"/>
      <c r="V7" s="116"/>
      <c r="W7" s="116"/>
      <c r="X7" s="116"/>
      <c r="Y7" s="116"/>
      <c r="Z7" s="162" t="str">
        <f>I7</f>
        <v>CanvasJS</v>
      </c>
      <c r="AA7" s="162" t="str">
        <f>K7</f>
        <v>Highcharts</v>
      </c>
      <c r="AB7" s="162" t="str">
        <f>M7</f>
        <v>Alternative 3</v>
      </c>
      <c r="AC7" s="162" t="str">
        <f>O7</f>
        <v>Alternative 4</v>
      </c>
      <c r="AD7" s="162" t="str">
        <f>Q7</f>
        <v>Alternative 5</v>
      </c>
      <c r="AE7" s="162" t="str">
        <f>S7</f>
        <v>Alternative 6</v>
      </c>
    </row>
    <row r="8" spans="1:57" s="135" customFormat="1" ht="39" thickBot="1" x14ac:dyDescent="0.25">
      <c r="A8" s="493"/>
      <c r="B8" s="494"/>
      <c r="C8" s="497"/>
      <c r="D8" s="498"/>
      <c r="E8" s="498"/>
      <c r="F8" s="494"/>
      <c r="G8" s="518"/>
      <c r="H8" s="118"/>
      <c r="I8" s="129" t="s">
        <v>28</v>
      </c>
      <c r="J8" s="130" t="s">
        <v>46</v>
      </c>
      <c r="K8" s="131" t="s">
        <v>28</v>
      </c>
      <c r="L8" s="130" t="s">
        <v>46</v>
      </c>
      <c r="M8" s="131" t="s">
        <v>28</v>
      </c>
      <c r="N8" s="172" t="s">
        <v>46</v>
      </c>
      <c r="O8" s="131" t="s">
        <v>28</v>
      </c>
      <c r="P8" s="172" t="s">
        <v>46</v>
      </c>
      <c r="Q8" s="131" t="s">
        <v>28</v>
      </c>
      <c r="R8" s="172" t="s">
        <v>46</v>
      </c>
      <c r="S8" s="131" t="s">
        <v>28</v>
      </c>
      <c r="T8" s="172" t="s">
        <v>46</v>
      </c>
      <c r="U8" s="132"/>
      <c r="V8" s="132"/>
      <c r="W8" s="132"/>
      <c r="X8" s="132"/>
      <c r="Y8" s="132"/>
      <c r="Z8" s="134" t="s">
        <v>69</v>
      </c>
      <c r="AA8" s="134" t="s">
        <v>69</v>
      </c>
      <c r="AB8" s="134" t="s">
        <v>69</v>
      </c>
      <c r="AC8" s="134" t="s">
        <v>69</v>
      </c>
      <c r="AD8" s="134" t="s">
        <v>69</v>
      </c>
      <c r="AE8" s="134" t="s">
        <v>69</v>
      </c>
      <c r="AF8" s="115"/>
      <c r="AG8" s="115"/>
      <c r="AH8" s="115"/>
    </row>
    <row r="9" spans="1:57" s="167" customFormat="1" ht="70.5" customHeight="1" x14ac:dyDescent="0.25">
      <c r="A9" s="482">
        <v>1</v>
      </c>
      <c r="B9" s="483"/>
      <c r="C9" s="429">
        <v>3</v>
      </c>
      <c r="D9" s="430"/>
      <c r="E9" s="430"/>
      <c r="F9" s="430"/>
      <c r="G9" s="385" t="s">
        <v>195</v>
      </c>
      <c r="H9" s="2"/>
      <c r="I9" s="24">
        <v>4</v>
      </c>
      <c r="J9" s="386" t="s">
        <v>197</v>
      </c>
      <c r="K9" s="387">
        <v>4</v>
      </c>
      <c r="L9" s="388" t="s">
        <v>196</v>
      </c>
      <c r="M9" s="24"/>
      <c r="N9" s="176"/>
      <c r="O9" s="24"/>
      <c r="P9" s="176"/>
      <c r="Q9" s="24"/>
      <c r="R9" s="176"/>
      <c r="S9" s="24"/>
      <c r="T9" s="176"/>
      <c r="U9" s="163"/>
      <c r="V9" s="163"/>
      <c r="W9" s="163"/>
      <c r="X9" s="163"/>
      <c r="Y9" s="163"/>
      <c r="Z9" s="164">
        <f t="shared" ref="Z9:Z13" si="0">C9*I9</f>
        <v>12</v>
      </c>
      <c r="AA9" s="165">
        <f t="shared" ref="AA9:AA13" si="1">C9*K9</f>
        <v>12</v>
      </c>
      <c r="AB9" s="166">
        <f t="shared" ref="AB9:AB13" si="2">C9*M9</f>
        <v>0</v>
      </c>
      <c r="AC9" s="166">
        <f t="shared" ref="AC9:AC13" si="3">C9*O9</f>
        <v>0</v>
      </c>
      <c r="AD9" s="166">
        <f>C9*Q9</f>
        <v>0</v>
      </c>
      <c r="AE9" s="166">
        <f>C9*S9</f>
        <v>0</v>
      </c>
    </row>
    <row r="10" spans="1:57" s="167" customFormat="1" ht="76.5" customHeight="1" x14ac:dyDescent="0.25">
      <c r="A10" s="482">
        <v>2</v>
      </c>
      <c r="B10" s="483"/>
      <c r="C10" s="429">
        <v>2</v>
      </c>
      <c r="D10" s="430"/>
      <c r="E10" s="430"/>
      <c r="F10" s="430"/>
      <c r="G10" s="385" t="s">
        <v>198</v>
      </c>
      <c r="H10" s="2"/>
      <c r="I10" s="24">
        <v>3</v>
      </c>
      <c r="J10" s="386" t="s">
        <v>203</v>
      </c>
      <c r="K10" s="387">
        <v>3</v>
      </c>
      <c r="L10" s="388" t="s">
        <v>199</v>
      </c>
      <c r="M10" s="24"/>
      <c r="N10" s="173"/>
      <c r="O10" s="24"/>
      <c r="P10" s="173"/>
      <c r="Q10" s="24"/>
      <c r="R10" s="173"/>
      <c r="S10" s="24"/>
      <c r="T10" s="173"/>
      <c r="U10" s="163"/>
      <c r="V10" s="163"/>
      <c r="W10" s="163"/>
      <c r="X10" s="163"/>
      <c r="Y10" s="163"/>
      <c r="Z10" s="168">
        <f t="shared" si="0"/>
        <v>6</v>
      </c>
      <c r="AA10" s="169">
        <f t="shared" si="1"/>
        <v>6</v>
      </c>
      <c r="AB10" s="170">
        <f t="shared" si="2"/>
        <v>0</v>
      </c>
      <c r="AC10" s="166">
        <f t="shared" si="3"/>
        <v>0</v>
      </c>
      <c r="AD10" s="166">
        <f t="shared" ref="AD10:AD13" si="4">C10*Q10</f>
        <v>0</v>
      </c>
      <c r="AE10" s="166">
        <f t="shared" ref="AE10:AE13" si="5">C10*S10</f>
        <v>0</v>
      </c>
    </row>
    <row r="11" spans="1:57" s="167" customFormat="1" ht="63.75" customHeight="1" x14ac:dyDescent="0.25">
      <c r="A11" s="482">
        <v>3</v>
      </c>
      <c r="B11" s="483"/>
      <c r="C11" s="429">
        <v>2</v>
      </c>
      <c r="D11" s="430"/>
      <c r="E11" s="430"/>
      <c r="F11" s="430"/>
      <c r="G11" s="385" t="s">
        <v>200</v>
      </c>
      <c r="H11" s="2"/>
      <c r="I11" s="24">
        <v>3</v>
      </c>
      <c r="J11" s="386" t="s">
        <v>201</v>
      </c>
      <c r="K11" s="387">
        <v>2</v>
      </c>
      <c r="L11" s="388" t="s">
        <v>202</v>
      </c>
      <c r="M11" s="24"/>
      <c r="N11" s="173"/>
      <c r="O11" s="24"/>
      <c r="P11" s="173"/>
      <c r="Q11" s="24"/>
      <c r="R11" s="173"/>
      <c r="S11" s="24"/>
      <c r="T11" s="173"/>
      <c r="U11" s="163"/>
      <c r="V11" s="163"/>
      <c r="W11" s="163"/>
      <c r="X11" s="163"/>
      <c r="Y11" s="163"/>
      <c r="Z11" s="171">
        <f t="shared" si="0"/>
        <v>6</v>
      </c>
      <c r="AA11" s="169">
        <f t="shared" si="1"/>
        <v>4</v>
      </c>
      <c r="AB11" s="170">
        <f t="shared" si="2"/>
        <v>0</v>
      </c>
      <c r="AC11" s="166">
        <f t="shared" si="3"/>
        <v>0</v>
      </c>
      <c r="AD11" s="166">
        <f t="shared" si="4"/>
        <v>0</v>
      </c>
      <c r="AE11" s="166">
        <f t="shared" si="5"/>
        <v>0</v>
      </c>
    </row>
    <row r="12" spans="1:57" s="167" customFormat="1" ht="69.75" customHeight="1" x14ac:dyDescent="0.25">
      <c r="A12" s="482">
        <v>4</v>
      </c>
      <c r="B12" s="483"/>
      <c r="C12" s="443">
        <v>4</v>
      </c>
      <c r="D12" s="444"/>
      <c r="E12" s="444"/>
      <c r="F12" s="445"/>
      <c r="G12" s="385" t="s">
        <v>204</v>
      </c>
      <c r="H12" s="2"/>
      <c r="I12" s="24">
        <v>3</v>
      </c>
      <c r="J12" s="386" t="s">
        <v>205</v>
      </c>
      <c r="K12" s="387">
        <v>4</v>
      </c>
      <c r="L12" s="388" t="s">
        <v>206</v>
      </c>
      <c r="M12" s="24"/>
      <c r="N12" s="173"/>
      <c r="O12" s="24"/>
      <c r="P12" s="173"/>
      <c r="Q12" s="24"/>
      <c r="R12" s="173"/>
      <c r="S12" s="24"/>
      <c r="T12" s="173"/>
      <c r="U12" s="163"/>
      <c r="V12" s="163"/>
      <c r="W12" s="163"/>
      <c r="X12" s="163"/>
      <c r="Y12" s="163"/>
      <c r="Z12" s="171">
        <f t="shared" si="0"/>
        <v>12</v>
      </c>
      <c r="AA12" s="169">
        <f t="shared" si="1"/>
        <v>16</v>
      </c>
      <c r="AB12" s="170">
        <f t="shared" si="2"/>
        <v>0</v>
      </c>
      <c r="AC12" s="166">
        <f t="shared" si="3"/>
        <v>0</v>
      </c>
      <c r="AD12" s="166">
        <f t="shared" si="4"/>
        <v>0</v>
      </c>
      <c r="AE12" s="166">
        <f t="shared" si="5"/>
        <v>0</v>
      </c>
    </row>
    <row r="13" spans="1:57" ht="25.5" x14ac:dyDescent="0.2">
      <c r="A13" s="482">
        <v>5</v>
      </c>
      <c r="B13" s="483"/>
      <c r="C13" s="505">
        <v>4</v>
      </c>
      <c r="D13" s="506"/>
      <c r="E13" s="506"/>
      <c r="F13" s="506"/>
      <c r="G13" s="385" t="s">
        <v>207</v>
      </c>
      <c r="H13" s="118"/>
      <c r="I13" s="24">
        <v>3</v>
      </c>
      <c r="J13" s="386" t="s">
        <v>208</v>
      </c>
      <c r="K13" s="387">
        <v>4</v>
      </c>
      <c r="L13" s="388" t="s">
        <v>215</v>
      </c>
      <c r="M13" s="140"/>
      <c r="N13" s="137"/>
      <c r="O13" s="140"/>
      <c r="P13" s="137"/>
      <c r="Q13" s="140"/>
      <c r="R13" s="137"/>
      <c r="S13" s="140"/>
      <c r="T13" s="137"/>
      <c r="U13" s="116"/>
      <c r="V13" s="116"/>
      <c r="W13" s="116"/>
      <c r="X13" s="116"/>
      <c r="Y13" s="116"/>
      <c r="Z13" s="142">
        <f t="shared" si="0"/>
        <v>12</v>
      </c>
      <c r="AA13" s="138">
        <f t="shared" si="1"/>
        <v>16</v>
      </c>
      <c r="AB13" s="139">
        <f t="shared" si="2"/>
        <v>0</v>
      </c>
      <c r="AC13" s="166">
        <f t="shared" si="3"/>
        <v>0</v>
      </c>
      <c r="AD13" s="166">
        <f t="shared" si="4"/>
        <v>0</v>
      </c>
      <c r="AE13" s="166">
        <f t="shared" si="5"/>
        <v>0</v>
      </c>
    </row>
    <row r="14" spans="1:57" ht="25.5" x14ac:dyDescent="0.2">
      <c r="A14" s="473">
        <v>6</v>
      </c>
      <c r="B14" s="474"/>
      <c r="C14" s="475">
        <v>4</v>
      </c>
      <c r="D14" s="476"/>
      <c r="E14" s="476"/>
      <c r="F14" s="477"/>
      <c r="G14" s="385" t="s">
        <v>209</v>
      </c>
      <c r="H14" s="118"/>
      <c r="I14" s="24">
        <v>2</v>
      </c>
      <c r="J14" s="386" t="s">
        <v>210</v>
      </c>
      <c r="K14" s="387">
        <v>4</v>
      </c>
      <c r="L14" s="388" t="s">
        <v>211</v>
      </c>
      <c r="M14" s="24"/>
      <c r="N14" s="137"/>
      <c r="O14" s="24"/>
      <c r="P14" s="137"/>
      <c r="Q14" s="24"/>
      <c r="R14" s="137"/>
      <c r="S14" s="24"/>
      <c r="T14" s="137"/>
      <c r="U14" s="116"/>
      <c r="V14" s="116"/>
      <c r="W14" s="116"/>
      <c r="X14" s="116"/>
      <c r="Y14" s="116"/>
      <c r="Z14" s="142">
        <f t="shared" ref="Z14:Z20" si="6">C14*I14</f>
        <v>8</v>
      </c>
      <c r="AA14" s="138">
        <f t="shared" ref="AA14:AA20" si="7">C14*K14</f>
        <v>16</v>
      </c>
      <c r="AB14" s="139">
        <f t="shared" ref="AB14:AB20" si="8">C14*M14</f>
        <v>0</v>
      </c>
      <c r="AC14" s="166">
        <f t="shared" ref="AC14:AC20" si="9">C14*O14</f>
        <v>0</v>
      </c>
      <c r="AD14" s="166">
        <f t="shared" ref="AD14:AD20" si="10">C14*Q14</f>
        <v>0</v>
      </c>
      <c r="AE14" s="166">
        <f t="shared" ref="AE14:AE20" si="11">C14*S14</f>
        <v>0</v>
      </c>
    </row>
    <row r="15" spans="1:57" ht="14.25" x14ac:dyDescent="0.2">
      <c r="A15" s="473">
        <v>7</v>
      </c>
      <c r="B15" s="474"/>
      <c r="C15" s="475">
        <v>2</v>
      </c>
      <c r="D15" s="476"/>
      <c r="E15" s="476"/>
      <c r="F15" s="477"/>
      <c r="G15" s="385" t="s">
        <v>212</v>
      </c>
      <c r="H15" s="118"/>
      <c r="I15" s="24">
        <v>3</v>
      </c>
      <c r="J15" s="386" t="s">
        <v>213</v>
      </c>
      <c r="K15" s="387">
        <v>2</v>
      </c>
      <c r="L15" s="388" t="s">
        <v>214</v>
      </c>
      <c r="M15" s="24"/>
      <c r="N15" s="137"/>
      <c r="O15" s="24"/>
      <c r="P15" s="137"/>
      <c r="Q15" s="24"/>
      <c r="R15" s="137"/>
      <c r="S15" s="24"/>
      <c r="T15" s="137"/>
      <c r="U15" s="116"/>
      <c r="V15" s="116"/>
      <c r="W15" s="116"/>
      <c r="X15" s="116"/>
      <c r="Y15" s="116"/>
      <c r="Z15" s="142">
        <f t="shared" si="6"/>
        <v>6</v>
      </c>
      <c r="AA15" s="138">
        <f t="shared" si="7"/>
        <v>4</v>
      </c>
      <c r="AB15" s="139">
        <f t="shared" si="8"/>
        <v>0</v>
      </c>
      <c r="AC15" s="166">
        <f t="shared" si="9"/>
        <v>0</v>
      </c>
      <c r="AD15" s="166">
        <f t="shared" si="10"/>
        <v>0</v>
      </c>
      <c r="AE15" s="166">
        <f t="shared" si="11"/>
        <v>0</v>
      </c>
    </row>
    <row r="16" spans="1:57" ht="14.25" x14ac:dyDescent="0.2">
      <c r="A16" s="482">
        <v>8</v>
      </c>
      <c r="B16" s="483"/>
      <c r="C16" s="480"/>
      <c r="D16" s="481"/>
      <c r="E16" s="481"/>
      <c r="F16" s="481"/>
      <c r="G16" s="136"/>
      <c r="H16" s="118"/>
      <c r="I16" s="24"/>
      <c r="J16" s="141"/>
      <c r="K16" s="24"/>
      <c r="L16" s="137"/>
      <c r="M16" s="24"/>
      <c r="N16" s="137"/>
      <c r="O16" s="24"/>
      <c r="P16" s="137"/>
      <c r="Q16" s="24"/>
      <c r="R16" s="137"/>
      <c r="S16" s="24"/>
      <c r="T16" s="137"/>
      <c r="U16" s="116"/>
      <c r="V16" s="116"/>
      <c r="W16" s="116"/>
      <c r="X16" s="116"/>
      <c r="Y16" s="116"/>
      <c r="Z16" s="142">
        <f t="shared" si="6"/>
        <v>0</v>
      </c>
      <c r="AA16" s="138">
        <f t="shared" si="7"/>
        <v>0</v>
      </c>
      <c r="AB16" s="139">
        <f t="shared" si="8"/>
        <v>0</v>
      </c>
      <c r="AC16" s="166">
        <f t="shared" si="9"/>
        <v>0</v>
      </c>
      <c r="AD16" s="166">
        <f t="shared" si="10"/>
        <v>0</v>
      </c>
      <c r="AE16" s="166">
        <f t="shared" si="11"/>
        <v>0</v>
      </c>
    </row>
    <row r="17" spans="1:31" ht="14.25" x14ac:dyDescent="0.2">
      <c r="A17" s="482">
        <v>9</v>
      </c>
      <c r="B17" s="483"/>
      <c r="C17" s="480"/>
      <c r="D17" s="481"/>
      <c r="E17" s="481"/>
      <c r="F17" s="481"/>
      <c r="G17" s="136"/>
      <c r="H17" s="118"/>
      <c r="I17" s="24"/>
      <c r="J17" s="141"/>
      <c r="K17" s="24"/>
      <c r="L17" s="137"/>
      <c r="M17" s="24"/>
      <c r="N17" s="137"/>
      <c r="O17" s="24"/>
      <c r="P17" s="137"/>
      <c r="Q17" s="24"/>
      <c r="R17" s="137"/>
      <c r="S17" s="24"/>
      <c r="T17" s="137"/>
      <c r="U17" s="116"/>
      <c r="V17" s="116"/>
      <c r="W17" s="116"/>
      <c r="X17" s="116"/>
      <c r="Y17" s="116"/>
      <c r="Z17" s="142">
        <f t="shared" si="6"/>
        <v>0</v>
      </c>
      <c r="AA17" s="138">
        <f t="shared" si="7"/>
        <v>0</v>
      </c>
      <c r="AB17" s="139">
        <f t="shared" si="8"/>
        <v>0</v>
      </c>
      <c r="AC17" s="166">
        <f t="shared" si="9"/>
        <v>0</v>
      </c>
      <c r="AD17" s="166">
        <f t="shared" si="10"/>
        <v>0</v>
      </c>
      <c r="AE17" s="166">
        <f t="shared" si="11"/>
        <v>0</v>
      </c>
    </row>
    <row r="18" spans="1:31" x14ac:dyDescent="0.2">
      <c r="A18" s="482">
        <v>10</v>
      </c>
      <c r="B18" s="483"/>
      <c r="C18" s="480"/>
      <c r="D18" s="481"/>
      <c r="E18" s="481"/>
      <c r="F18" s="481"/>
      <c r="G18" s="136"/>
      <c r="H18" s="118"/>
      <c r="I18" s="140"/>
      <c r="J18" s="141"/>
      <c r="K18" s="140"/>
      <c r="L18" s="137"/>
      <c r="M18" s="140"/>
      <c r="N18" s="137"/>
      <c r="O18" s="140"/>
      <c r="P18" s="137"/>
      <c r="Q18" s="140"/>
      <c r="R18" s="137"/>
      <c r="S18" s="140"/>
      <c r="T18" s="137"/>
      <c r="U18" s="116"/>
      <c r="V18" s="116"/>
      <c r="W18" s="116"/>
      <c r="X18" s="116"/>
      <c r="Y18" s="116"/>
      <c r="Z18" s="142">
        <f t="shared" si="6"/>
        <v>0</v>
      </c>
      <c r="AA18" s="138">
        <f t="shared" si="7"/>
        <v>0</v>
      </c>
      <c r="AB18" s="139">
        <f t="shared" si="8"/>
        <v>0</v>
      </c>
      <c r="AC18" s="166">
        <f t="shared" si="9"/>
        <v>0</v>
      </c>
      <c r="AD18" s="166">
        <f t="shared" si="10"/>
        <v>0</v>
      </c>
      <c r="AE18" s="166">
        <f t="shared" si="11"/>
        <v>0</v>
      </c>
    </row>
    <row r="19" spans="1:31" x14ac:dyDescent="0.2">
      <c r="A19" s="482">
        <v>11</v>
      </c>
      <c r="B19" s="483"/>
      <c r="C19" s="480"/>
      <c r="D19" s="481"/>
      <c r="E19" s="481"/>
      <c r="F19" s="481"/>
      <c r="G19" s="136"/>
      <c r="H19" s="118"/>
      <c r="I19" s="140"/>
      <c r="J19" s="141"/>
      <c r="K19" s="140"/>
      <c r="L19" s="137"/>
      <c r="M19" s="140"/>
      <c r="N19" s="137"/>
      <c r="O19" s="140"/>
      <c r="P19" s="137"/>
      <c r="Q19" s="140"/>
      <c r="R19" s="137"/>
      <c r="S19" s="140"/>
      <c r="T19" s="137"/>
      <c r="U19" s="116"/>
      <c r="V19" s="116"/>
      <c r="W19" s="116"/>
      <c r="X19" s="116"/>
      <c r="Y19" s="116"/>
      <c r="Z19" s="142">
        <f t="shared" si="6"/>
        <v>0</v>
      </c>
      <c r="AA19" s="138">
        <f t="shared" si="7"/>
        <v>0</v>
      </c>
      <c r="AB19" s="139">
        <f t="shared" si="8"/>
        <v>0</v>
      </c>
      <c r="AC19" s="166">
        <f t="shared" si="9"/>
        <v>0</v>
      </c>
      <c r="AD19" s="166">
        <f t="shared" si="10"/>
        <v>0</v>
      </c>
      <c r="AE19" s="166">
        <f t="shared" si="11"/>
        <v>0</v>
      </c>
    </row>
    <row r="20" spans="1:31" ht="13.5" thickBot="1" x14ac:dyDescent="0.25">
      <c r="A20" s="503">
        <v>12</v>
      </c>
      <c r="B20" s="504"/>
      <c r="C20" s="499"/>
      <c r="D20" s="500"/>
      <c r="E20" s="500"/>
      <c r="F20" s="500"/>
      <c r="G20" s="143"/>
      <c r="H20" s="118"/>
      <c r="I20" s="188"/>
      <c r="J20" s="144"/>
      <c r="K20" s="188"/>
      <c r="L20" s="145"/>
      <c r="M20" s="188"/>
      <c r="N20" s="145"/>
      <c r="O20" s="188"/>
      <c r="P20" s="145"/>
      <c r="Q20" s="188"/>
      <c r="R20" s="145"/>
      <c r="S20" s="188"/>
      <c r="T20" s="145"/>
      <c r="U20" s="116"/>
      <c r="V20" s="116"/>
      <c r="W20" s="116"/>
      <c r="X20" s="116"/>
      <c r="Y20" s="116"/>
      <c r="Z20" s="146">
        <f t="shared" si="6"/>
        <v>0</v>
      </c>
      <c r="AA20" s="147">
        <f t="shared" si="7"/>
        <v>0</v>
      </c>
      <c r="AB20" s="148">
        <f t="shared" si="8"/>
        <v>0</v>
      </c>
      <c r="AC20" s="166">
        <f t="shared" si="9"/>
        <v>0</v>
      </c>
      <c r="AD20" s="166">
        <f t="shared" si="10"/>
        <v>0</v>
      </c>
      <c r="AE20" s="166">
        <f t="shared" si="11"/>
        <v>0</v>
      </c>
    </row>
    <row r="21" spans="1:31" ht="13.5" thickBot="1" x14ac:dyDescent="0.25">
      <c r="A21" s="149"/>
      <c r="B21" s="149"/>
      <c r="C21" s="150"/>
      <c r="D21" s="151"/>
      <c r="E21" s="151"/>
      <c r="F21" s="151"/>
      <c r="H21" s="152"/>
      <c r="I21" s="152"/>
      <c r="J21" s="152"/>
      <c r="K21" s="152"/>
      <c r="L21" s="152"/>
      <c r="M21" s="152"/>
      <c r="N21" s="152"/>
      <c r="O21" s="152"/>
      <c r="P21" s="152"/>
      <c r="Q21" s="152"/>
      <c r="R21" s="152"/>
      <c r="S21" s="152"/>
      <c r="T21" s="152"/>
      <c r="V21" s="116"/>
      <c r="X21" s="151" t="s">
        <v>59</v>
      </c>
      <c r="Z21" s="153">
        <f t="shared" ref="Z21:AE21" si="12">SUM(Z9:Z20)</f>
        <v>62</v>
      </c>
      <c r="AA21" s="154">
        <f t="shared" si="12"/>
        <v>74</v>
      </c>
      <c r="AB21" s="155">
        <f t="shared" si="12"/>
        <v>0</v>
      </c>
      <c r="AC21" s="155">
        <f t="shared" si="12"/>
        <v>0</v>
      </c>
      <c r="AD21" s="155">
        <f t="shared" si="12"/>
        <v>0</v>
      </c>
      <c r="AE21" s="155">
        <f t="shared" si="12"/>
        <v>0</v>
      </c>
    </row>
    <row r="22" spans="1:31" x14ac:dyDescent="0.2">
      <c r="A22" s="149"/>
      <c r="B22" s="149"/>
      <c r="C22" s="150"/>
      <c r="D22" s="151"/>
      <c r="E22" s="151"/>
      <c r="F22" s="151"/>
      <c r="G22" s="151"/>
      <c r="H22" s="118"/>
      <c r="I22" s="156"/>
      <c r="J22" s="157"/>
      <c r="K22" s="157"/>
      <c r="L22" s="157"/>
      <c r="M22" s="116"/>
      <c r="N22" s="157"/>
      <c r="O22" s="116"/>
      <c r="P22" s="157"/>
      <c r="Q22" s="116"/>
      <c r="R22" s="157"/>
      <c r="S22" s="116"/>
      <c r="T22" s="157"/>
      <c r="U22" s="116"/>
      <c r="V22" s="116"/>
      <c r="W22" s="116"/>
      <c r="X22" s="116"/>
      <c r="Y22" s="116"/>
      <c r="Z22" s="116"/>
      <c r="AA22" s="116"/>
      <c r="AB22" s="116"/>
      <c r="AC22" s="116"/>
      <c r="AD22" s="116"/>
      <c r="AE22" s="116"/>
    </row>
    <row r="23" spans="1:31" x14ac:dyDescent="0.2">
      <c r="A23" s="479"/>
      <c r="B23" s="479"/>
      <c r="C23" s="478" t="s">
        <v>216</v>
      </c>
      <c r="D23" s="478"/>
      <c r="E23" s="478"/>
      <c r="F23" s="478"/>
      <c r="G23" s="478"/>
      <c r="H23" s="478"/>
      <c r="I23" s="478"/>
      <c r="J23" s="478"/>
      <c r="K23" s="478"/>
      <c r="L23" s="478"/>
      <c r="M23" s="116"/>
      <c r="N23" s="158"/>
      <c r="O23" s="116"/>
      <c r="P23" s="158"/>
      <c r="Q23" s="116"/>
      <c r="R23" s="158"/>
      <c r="S23" s="116"/>
      <c r="T23" s="158"/>
      <c r="U23" s="116"/>
      <c r="V23" s="116"/>
      <c r="W23" s="116"/>
      <c r="X23" s="116"/>
      <c r="Y23" s="116"/>
      <c r="Z23" s="116"/>
      <c r="AA23" s="116"/>
      <c r="AB23" s="116"/>
      <c r="AC23" s="116"/>
      <c r="AD23" s="116"/>
      <c r="AE23" s="116"/>
    </row>
    <row r="24" spans="1:31" x14ac:dyDescent="0.2">
      <c r="A24" s="479"/>
      <c r="B24" s="479"/>
      <c r="C24" s="502" t="s">
        <v>66</v>
      </c>
      <c r="D24" s="502"/>
      <c r="E24" s="502"/>
      <c r="F24" s="502"/>
      <c r="G24" s="159"/>
      <c r="H24" s="128"/>
      <c r="I24" s="157"/>
      <c r="J24" s="157"/>
      <c r="K24" s="157"/>
      <c r="L24" s="157"/>
      <c r="M24" s="116"/>
      <c r="N24" s="157"/>
      <c r="O24" s="116"/>
      <c r="P24" s="157"/>
      <c r="Q24" s="116"/>
      <c r="R24" s="157"/>
      <c r="S24" s="116"/>
      <c r="T24" s="157"/>
      <c r="U24" s="116"/>
      <c r="V24" s="116"/>
      <c r="W24" s="116"/>
      <c r="X24" s="116"/>
      <c r="Y24" s="116"/>
      <c r="Z24" s="116"/>
      <c r="AA24" s="116"/>
      <c r="AB24" s="116"/>
      <c r="AC24" s="116"/>
      <c r="AD24" s="116"/>
      <c r="AE24" s="116"/>
    </row>
    <row r="25" spans="1:31" x14ac:dyDescent="0.2">
      <c r="A25" s="124"/>
      <c r="B25" s="124"/>
      <c r="C25" s="133" t="s">
        <v>21</v>
      </c>
      <c r="D25" s="133"/>
      <c r="E25" s="133"/>
      <c r="F25" s="133"/>
      <c r="G25" s="159"/>
      <c r="H25" s="128"/>
      <c r="I25" s="157"/>
      <c r="J25" s="157"/>
      <c r="K25" s="157"/>
      <c r="L25" s="157"/>
      <c r="M25" s="116"/>
      <c r="N25" s="157"/>
      <c r="O25" s="116"/>
      <c r="P25" s="157"/>
      <c r="Q25" s="116"/>
      <c r="R25" s="157"/>
      <c r="S25" s="116"/>
      <c r="T25" s="157"/>
      <c r="U25" s="116"/>
      <c r="V25" s="116"/>
      <c r="W25" s="116"/>
      <c r="X25" s="116"/>
      <c r="Y25" s="116"/>
      <c r="Z25" s="116"/>
      <c r="AA25" s="116"/>
      <c r="AB25" s="116"/>
      <c r="AC25" s="116"/>
      <c r="AD25" s="116"/>
      <c r="AE25" s="116"/>
    </row>
    <row r="26" spans="1:31" ht="12.75" customHeight="1" x14ac:dyDescent="0.2">
      <c r="A26" s="479"/>
      <c r="B26" s="479"/>
      <c r="C26" s="501" t="s">
        <v>67</v>
      </c>
      <c r="D26" s="501"/>
      <c r="E26" s="501"/>
      <c r="F26" s="501"/>
      <c r="G26" s="501"/>
      <c r="H26" s="501"/>
      <c r="I26" s="501"/>
      <c r="J26" s="501"/>
      <c r="K26" s="501"/>
      <c r="L26" s="158"/>
      <c r="M26" s="116"/>
      <c r="N26" s="158"/>
      <c r="O26" s="116"/>
      <c r="P26" s="158"/>
      <c r="Q26" s="116"/>
      <c r="R26" s="158"/>
      <c r="S26" s="116"/>
      <c r="T26" s="158"/>
      <c r="U26" s="116"/>
      <c r="V26" s="116"/>
      <c r="W26" s="116"/>
      <c r="X26" s="116"/>
      <c r="Y26" s="116"/>
      <c r="Z26" s="116"/>
      <c r="AA26" s="116"/>
      <c r="AB26" s="116"/>
      <c r="AC26" s="116"/>
      <c r="AD26" s="116"/>
      <c r="AE26" s="116"/>
    </row>
    <row r="27" spans="1:31" ht="12.75" customHeight="1" x14ac:dyDescent="0.2">
      <c r="A27" s="479"/>
      <c r="B27" s="479"/>
      <c r="C27" s="510" t="s">
        <v>27</v>
      </c>
      <c r="D27" s="510"/>
      <c r="E27" s="510"/>
      <c r="F27" s="510"/>
      <c r="G27" s="510"/>
      <c r="H27" s="510"/>
      <c r="I27" s="510"/>
      <c r="J27" s="510"/>
      <c r="K27" s="510"/>
      <c r="L27" s="158"/>
      <c r="M27" s="116"/>
      <c r="N27" s="158"/>
      <c r="O27" s="116"/>
      <c r="P27" s="158"/>
      <c r="Q27" s="116"/>
      <c r="R27" s="158"/>
      <c r="S27" s="116"/>
      <c r="T27" s="158"/>
      <c r="U27" s="116"/>
      <c r="V27" s="116"/>
      <c r="W27" s="116"/>
      <c r="X27" s="116"/>
      <c r="Y27" s="116"/>
      <c r="Z27" s="116"/>
      <c r="AA27" s="116"/>
      <c r="AB27" s="116"/>
      <c r="AC27" s="116"/>
      <c r="AD27" s="116"/>
      <c r="AE27" s="116"/>
    </row>
    <row r="28" spans="1:31" ht="12.75" customHeight="1" x14ac:dyDescent="0.2">
      <c r="A28" s="479"/>
      <c r="B28" s="479"/>
      <c r="C28" s="501" t="s">
        <v>68</v>
      </c>
      <c r="D28" s="501"/>
      <c r="E28" s="501"/>
      <c r="F28" s="501"/>
      <c r="G28" s="501"/>
      <c r="H28" s="501"/>
      <c r="I28" s="501"/>
      <c r="J28" s="501"/>
      <c r="K28" s="501"/>
      <c r="L28" s="152"/>
      <c r="M28" s="116"/>
      <c r="N28" s="152"/>
      <c r="O28" s="116"/>
      <c r="P28" s="152"/>
      <c r="Q28" s="116"/>
      <c r="R28" s="152"/>
      <c r="S28" s="116"/>
      <c r="T28" s="152"/>
      <c r="U28" s="116"/>
      <c r="V28" s="116"/>
      <c r="W28" s="116"/>
      <c r="X28" s="116"/>
      <c r="Y28" s="116"/>
      <c r="Z28" s="116"/>
      <c r="AA28" s="116"/>
      <c r="AB28" s="116"/>
      <c r="AC28" s="116"/>
      <c r="AD28" s="116"/>
      <c r="AE28" s="116"/>
    </row>
    <row r="29" spans="1:31" x14ac:dyDescent="0.2">
      <c r="A29" s="479"/>
      <c r="B29" s="479"/>
      <c r="C29" s="511"/>
      <c r="D29" s="511"/>
      <c r="E29" s="511"/>
      <c r="F29" s="511"/>
      <c r="G29" s="511"/>
      <c r="H29" s="511"/>
      <c r="I29" s="511"/>
      <c r="J29" s="511"/>
      <c r="K29" s="511"/>
      <c r="L29" s="152"/>
      <c r="M29" s="116"/>
      <c r="N29" s="152"/>
      <c r="O29" s="116"/>
      <c r="P29" s="152"/>
      <c r="Q29" s="116"/>
      <c r="R29" s="152"/>
      <c r="S29" s="116"/>
      <c r="T29" s="152"/>
      <c r="U29" s="116"/>
      <c r="V29" s="116"/>
      <c r="W29" s="116"/>
      <c r="X29" s="116"/>
      <c r="Y29" s="116"/>
      <c r="Z29" s="116"/>
      <c r="AA29" s="116"/>
      <c r="AB29" s="116"/>
      <c r="AC29" s="116"/>
      <c r="AD29" s="116"/>
      <c r="AE29" s="116"/>
    </row>
    <row r="30" spans="1:31" x14ac:dyDescent="0.2">
      <c r="A30" s="479"/>
      <c r="B30" s="479"/>
      <c r="C30" s="511"/>
      <c r="D30" s="511"/>
      <c r="E30" s="511"/>
      <c r="F30" s="511"/>
      <c r="G30" s="511"/>
      <c r="H30" s="511"/>
      <c r="I30" s="511"/>
      <c r="J30" s="511"/>
      <c r="K30" s="511"/>
      <c r="L30" s="152"/>
      <c r="M30" s="116"/>
      <c r="N30" s="152"/>
      <c r="O30" s="116"/>
      <c r="P30" s="152"/>
      <c r="Q30" s="116"/>
      <c r="R30" s="152"/>
      <c r="S30" s="116"/>
      <c r="T30" s="152"/>
      <c r="U30" s="116"/>
      <c r="V30" s="116"/>
      <c r="W30" s="116"/>
      <c r="X30" s="116"/>
      <c r="Y30" s="116"/>
      <c r="Z30" s="116"/>
      <c r="AA30" s="116"/>
      <c r="AB30" s="116"/>
      <c r="AC30" s="116"/>
      <c r="AD30" s="116"/>
      <c r="AE30" s="116"/>
    </row>
    <row r="31" spans="1:31" ht="12.75" customHeight="1" x14ac:dyDescent="0.2">
      <c r="A31" s="479"/>
      <c r="B31" s="479"/>
      <c r="C31" s="509" t="s">
        <v>74</v>
      </c>
      <c r="D31" s="509"/>
      <c r="E31" s="509"/>
      <c r="F31" s="509"/>
      <c r="G31" s="509"/>
      <c r="H31" s="509"/>
      <c r="I31" s="509"/>
      <c r="J31" s="509"/>
      <c r="K31" s="509"/>
      <c r="L31" s="152"/>
      <c r="M31" s="116"/>
      <c r="N31" s="152"/>
      <c r="O31" s="116"/>
      <c r="P31" s="152"/>
      <c r="Q31" s="116"/>
      <c r="R31" s="152"/>
      <c r="S31" s="116"/>
      <c r="T31" s="152"/>
      <c r="U31" s="116"/>
      <c r="V31" s="116"/>
      <c r="W31" s="116"/>
      <c r="X31" s="116"/>
      <c r="Y31" s="116"/>
      <c r="Z31" s="116"/>
      <c r="AA31" s="116"/>
      <c r="AB31" s="116"/>
      <c r="AC31" s="116"/>
      <c r="AD31" s="116"/>
      <c r="AE31" s="116"/>
    </row>
    <row r="32" spans="1:31" x14ac:dyDescent="0.2">
      <c r="A32" s="479"/>
      <c r="B32" s="479"/>
      <c r="C32" s="507"/>
      <c r="D32" s="507"/>
      <c r="E32" s="507"/>
      <c r="F32" s="507"/>
      <c r="G32" s="159"/>
      <c r="H32" s="128"/>
      <c r="I32" s="157"/>
      <c r="J32" s="157"/>
      <c r="K32" s="157"/>
      <c r="L32" s="157"/>
      <c r="M32" s="116"/>
      <c r="N32" s="157"/>
      <c r="O32" s="116"/>
      <c r="P32" s="157"/>
      <c r="Q32" s="116"/>
      <c r="R32" s="157"/>
      <c r="S32" s="116"/>
      <c r="T32" s="157"/>
      <c r="U32" s="116"/>
      <c r="V32" s="116"/>
      <c r="W32" s="116"/>
      <c r="X32" s="116"/>
      <c r="Y32" s="116"/>
      <c r="Z32" s="116"/>
      <c r="AA32" s="116"/>
      <c r="AB32" s="116"/>
      <c r="AC32" s="116"/>
      <c r="AD32" s="116"/>
      <c r="AE32" s="116"/>
    </row>
    <row r="33" spans="1:31" x14ac:dyDescent="0.2">
      <c r="A33" s="479"/>
      <c r="B33" s="479"/>
      <c r="C33" s="507"/>
      <c r="D33" s="507"/>
      <c r="E33" s="507"/>
      <c r="F33" s="507"/>
      <c r="G33" s="159"/>
      <c r="H33" s="128"/>
      <c r="I33" s="157"/>
      <c r="J33" s="157"/>
      <c r="K33" s="157"/>
      <c r="L33" s="157"/>
      <c r="M33" s="116"/>
      <c r="N33" s="157"/>
      <c r="O33" s="116"/>
      <c r="P33" s="157"/>
      <c r="Q33" s="116"/>
      <c r="R33" s="157"/>
      <c r="S33" s="116"/>
      <c r="T33" s="157"/>
      <c r="U33" s="116"/>
      <c r="V33" s="116"/>
      <c r="W33" s="116"/>
      <c r="X33" s="116"/>
      <c r="Y33" s="116"/>
      <c r="Z33" s="116"/>
      <c r="AA33" s="116"/>
      <c r="AB33" s="116"/>
      <c r="AC33" s="116"/>
      <c r="AD33" s="116"/>
      <c r="AE33" s="116"/>
    </row>
    <row r="34" spans="1:31" x14ac:dyDescent="0.2">
      <c r="A34" s="479"/>
      <c r="B34" s="479"/>
      <c r="C34" s="507"/>
      <c r="D34" s="507"/>
      <c r="E34" s="507"/>
      <c r="F34" s="507"/>
      <c r="G34" s="159"/>
      <c r="H34" s="128"/>
      <c r="I34" s="157"/>
      <c r="J34" s="157"/>
      <c r="K34" s="157"/>
      <c r="L34" s="157"/>
      <c r="M34" s="116"/>
      <c r="N34" s="157"/>
      <c r="O34" s="116"/>
      <c r="P34" s="157"/>
      <c r="Q34" s="116"/>
      <c r="R34" s="157"/>
      <c r="S34" s="116"/>
      <c r="T34" s="157"/>
      <c r="U34" s="116"/>
      <c r="V34" s="116"/>
      <c r="W34" s="116"/>
      <c r="X34" s="116"/>
      <c r="Y34" s="116"/>
      <c r="Z34" s="116"/>
      <c r="AA34" s="116"/>
      <c r="AB34" s="116"/>
      <c r="AC34" s="116"/>
      <c r="AD34" s="116"/>
      <c r="AE34" s="116"/>
    </row>
    <row r="35" spans="1:31" x14ac:dyDescent="0.2">
      <c r="A35" s="479"/>
      <c r="B35" s="479"/>
      <c r="C35" s="507"/>
      <c r="D35" s="507"/>
      <c r="E35" s="507"/>
      <c r="F35" s="507"/>
      <c r="G35" s="159"/>
      <c r="H35" s="128"/>
      <c r="I35" s="157"/>
      <c r="J35" s="157"/>
      <c r="K35" s="157"/>
      <c r="L35" s="157"/>
      <c r="M35" s="116"/>
      <c r="N35" s="157"/>
      <c r="O35" s="116"/>
      <c r="P35" s="157"/>
      <c r="Q35" s="116"/>
      <c r="R35" s="157"/>
      <c r="S35" s="116"/>
      <c r="T35" s="157"/>
      <c r="U35" s="116"/>
      <c r="V35" s="116"/>
      <c r="W35" s="116"/>
      <c r="X35" s="116"/>
      <c r="Y35" s="116"/>
      <c r="Z35" s="116"/>
      <c r="AA35" s="116"/>
      <c r="AB35" s="116"/>
      <c r="AC35" s="116"/>
      <c r="AD35" s="116"/>
      <c r="AE35" s="116"/>
    </row>
    <row r="36" spans="1:31" x14ac:dyDescent="0.2">
      <c r="A36" s="479"/>
      <c r="B36" s="479"/>
      <c r="C36" s="507"/>
      <c r="D36" s="507"/>
      <c r="E36" s="507"/>
      <c r="F36" s="507"/>
      <c r="G36" s="159"/>
      <c r="H36" s="128"/>
      <c r="I36" s="157"/>
      <c r="J36" s="157"/>
      <c r="K36" s="157"/>
      <c r="L36" s="157"/>
      <c r="M36" s="116"/>
      <c r="N36" s="157"/>
      <c r="O36" s="116"/>
      <c r="P36" s="157"/>
      <c r="Q36" s="116"/>
      <c r="R36" s="157"/>
      <c r="S36" s="116"/>
      <c r="T36" s="157"/>
      <c r="U36" s="116"/>
      <c r="V36" s="116"/>
      <c r="W36" s="116"/>
      <c r="X36" s="116"/>
      <c r="Y36" s="116"/>
      <c r="Z36" s="116"/>
      <c r="AA36" s="116"/>
      <c r="AB36" s="116"/>
      <c r="AC36" s="116"/>
      <c r="AD36" s="116"/>
      <c r="AE36" s="116"/>
    </row>
    <row r="37" spans="1:31" x14ac:dyDescent="0.2">
      <c r="A37" s="479"/>
      <c r="B37" s="479"/>
      <c r="C37" s="507"/>
      <c r="D37" s="507"/>
      <c r="E37" s="507"/>
      <c r="F37" s="507"/>
      <c r="G37" s="159"/>
      <c r="H37" s="128"/>
      <c r="I37" s="157"/>
      <c r="J37" s="157"/>
      <c r="K37" s="157"/>
      <c r="L37" s="157"/>
      <c r="M37" s="116"/>
      <c r="N37" s="157"/>
      <c r="O37" s="116"/>
      <c r="P37" s="157"/>
      <c r="Q37" s="116"/>
      <c r="R37" s="157"/>
      <c r="S37" s="116"/>
      <c r="T37" s="157"/>
      <c r="U37" s="116"/>
      <c r="V37" s="116"/>
      <c r="W37" s="116"/>
      <c r="X37" s="116"/>
      <c r="Y37" s="116"/>
      <c r="Z37" s="116"/>
      <c r="AA37" s="116"/>
      <c r="AB37" s="116"/>
      <c r="AC37" s="116"/>
      <c r="AD37" s="116"/>
      <c r="AE37" s="116"/>
    </row>
    <row r="38" spans="1:31" x14ac:dyDescent="0.2">
      <c r="A38" s="479"/>
      <c r="B38" s="479"/>
      <c r="C38" s="507"/>
      <c r="D38" s="507"/>
      <c r="E38" s="507"/>
      <c r="F38" s="507"/>
      <c r="G38" s="159"/>
      <c r="H38" s="128"/>
      <c r="I38" s="157"/>
      <c r="J38" s="157"/>
      <c r="K38" s="157"/>
      <c r="L38" s="157"/>
      <c r="M38" s="116"/>
      <c r="N38" s="157"/>
      <c r="O38" s="116"/>
      <c r="P38" s="157"/>
      <c r="Q38" s="116"/>
      <c r="R38" s="157"/>
      <c r="S38" s="116"/>
      <c r="T38" s="157"/>
      <c r="U38" s="116"/>
      <c r="V38" s="116"/>
      <c r="W38" s="116"/>
      <c r="X38" s="116"/>
      <c r="Y38" s="116"/>
      <c r="Z38" s="116"/>
      <c r="AA38" s="116"/>
      <c r="AB38" s="116"/>
      <c r="AC38" s="116"/>
      <c r="AD38" s="116"/>
      <c r="AE38" s="116"/>
    </row>
    <row r="39" spans="1:31" x14ac:dyDescent="0.2">
      <c r="A39" s="479"/>
      <c r="B39" s="479"/>
      <c r="C39" s="507"/>
      <c r="D39" s="507"/>
      <c r="E39" s="507"/>
      <c r="F39" s="507"/>
      <c r="G39" s="159"/>
      <c r="H39" s="128"/>
      <c r="I39" s="157"/>
      <c r="J39" s="157"/>
      <c r="K39" s="157"/>
      <c r="L39" s="157"/>
      <c r="M39" s="116"/>
      <c r="N39" s="157"/>
      <c r="O39" s="116"/>
      <c r="P39" s="157"/>
      <c r="Q39" s="116"/>
      <c r="R39" s="157"/>
      <c r="S39" s="116"/>
      <c r="T39" s="157"/>
      <c r="U39" s="116"/>
      <c r="V39" s="116"/>
      <c r="W39" s="116"/>
      <c r="X39" s="116"/>
      <c r="Y39" s="116"/>
      <c r="Z39" s="116"/>
      <c r="AA39" s="116"/>
      <c r="AB39" s="116"/>
      <c r="AC39" s="116"/>
      <c r="AD39" s="116"/>
      <c r="AE39" s="116"/>
    </row>
    <row r="40" spans="1:31" x14ac:dyDescent="0.2">
      <c r="A40" s="479"/>
      <c r="B40" s="479"/>
      <c r="C40" s="507"/>
      <c r="D40" s="507"/>
      <c r="E40" s="507"/>
      <c r="F40" s="507"/>
      <c r="G40" s="159"/>
      <c r="H40" s="128"/>
      <c r="I40" s="157"/>
      <c r="J40" s="157"/>
      <c r="K40" s="157"/>
      <c r="L40" s="157"/>
      <c r="M40" s="116"/>
      <c r="N40" s="157"/>
      <c r="O40" s="116"/>
      <c r="P40" s="157"/>
      <c r="Q40" s="116"/>
      <c r="R40" s="157"/>
      <c r="S40" s="116"/>
      <c r="T40" s="157"/>
      <c r="U40" s="116"/>
      <c r="V40" s="116"/>
      <c r="W40" s="116"/>
      <c r="X40" s="116"/>
      <c r="Y40" s="116"/>
      <c r="Z40" s="116"/>
      <c r="AA40" s="116"/>
      <c r="AB40" s="116"/>
      <c r="AC40" s="116"/>
      <c r="AD40" s="116"/>
      <c r="AE40" s="116"/>
    </row>
    <row r="41" spans="1:31" x14ac:dyDescent="0.2">
      <c r="A41" s="479"/>
      <c r="B41" s="479"/>
      <c r="C41" s="507"/>
      <c r="D41" s="507"/>
      <c r="E41" s="507"/>
      <c r="F41" s="507"/>
      <c r="G41" s="159"/>
      <c r="H41" s="128"/>
      <c r="I41" s="157"/>
      <c r="J41" s="157"/>
      <c r="K41" s="157"/>
      <c r="L41" s="157"/>
      <c r="M41" s="116"/>
      <c r="N41" s="157"/>
      <c r="O41" s="116"/>
      <c r="P41" s="157"/>
      <c r="Q41" s="116"/>
      <c r="R41" s="157"/>
      <c r="S41" s="116"/>
      <c r="T41" s="157"/>
      <c r="U41" s="116"/>
      <c r="V41" s="116"/>
      <c r="W41" s="116"/>
      <c r="X41" s="116"/>
      <c r="Y41" s="116"/>
      <c r="Z41" s="116"/>
      <c r="AA41" s="116"/>
      <c r="AB41" s="116"/>
      <c r="AC41" s="116"/>
      <c r="AD41" s="116"/>
      <c r="AE41" s="116"/>
    </row>
    <row r="42" spans="1:31" x14ac:dyDescent="0.2">
      <c r="A42" s="479"/>
      <c r="B42" s="479"/>
      <c r="C42" s="507"/>
      <c r="D42" s="507"/>
      <c r="E42" s="507"/>
      <c r="F42" s="507"/>
      <c r="G42" s="159"/>
      <c r="H42" s="128"/>
      <c r="I42" s="157"/>
      <c r="J42" s="157"/>
      <c r="K42" s="157"/>
      <c r="L42" s="157"/>
      <c r="M42" s="116"/>
      <c r="N42" s="157"/>
      <c r="O42" s="116"/>
      <c r="P42" s="157"/>
      <c r="Q42" s="116"/>
      <c r="R42" s="157"/>
      <c r="S42" s="116"/>
      <c r="T42" s="157"/>
      <c r="U42" s="116"/>
      <c r="V42" s="116"/>
      <c r="W42" s="116"/>
      <c r="X42" s="116"/>
      <c r="Y42" s="116"/>
      <c r="Z42" s="116"/>
      <c r="AA42" s="116"/>
      <c r="AB42" s="116"/>
      <c r="AC42" s="116"/>
      <c r="AD42" s="116"/>
      <c r="AE42" s="116"/>
    </row>
    <row r="43" spans="1:31" x14ac:dyDescent="0.2">
      <c r="A43" s="479"/>
      <c r="B43" s="479"/>
      <c r="C43" s="507"/>
      <c r="D43" s="507"/>
      <c r="E43" s="507"/>
      <c r="F43" s="507"/>
      <c r="G43" s="159"/>
      <c r="H43" s="128"/>
      <c r="I43" s="157"/>
      <c r="J43" s="157"/>
      <c r="K43" s="157"/>
      <c r="L43" s="157"/>
      <c r="M43" s="116"/>
      <c r="N43" s="157"/>
      <c r="O43" s="116"/>
      <c r="P43" s="157"/>
      <c r="Q43" s="116"/>
      <c r="R43" s="157"/>
      <c r="S43" s="116"/>
      <c r="T43" s="157"/>
      <c r="U43" s="116"/>
      <c r="V43" s="116"/>
      <c r="W43" s="116"/>
      <c r="X43" s="116"/>
      <c r="Y43" s="116"/>
      <c r="Z43" s="116"/>
      <c r="AA43" s="116"/>
      <c r="AB43" s="116"/>
      <c r="AC43" s="116"/>
      <c r="AD43" s="116"/>
      <c r="AE43" s="116"/>
    </row>
    <row r="44" spans="1:31" x14ac:dyDescent="0.2">
      <c r="A44" s="479"/>
      <c r="B44" s="479"/>
      <c r="C44" s="507"/>
      <c r="D44" s="507"/>
      <c r="E44" s="507"/>
      <c r="F44" s="507"/>
      <c r="G44" s="159"/>
      <c r="H44" s="128"/>
      <c r="I44" s="157"/>
      <c r="J44" s="157"/>
      <c r="K44" s="157"/>
      <c r="L44" s="157"/>
      <c r="M44" s="116"/>
      <c r="N44" s="157"/>
      <c r="O44" s="116"/>
      <c r="P44" s="157"/>
      <c r="Q44" s="116"/>
      <c r="R44" s="157"/>
      <c r="S44" s="116"/>
      <c r="T44" s="157"/>
      <c r="U44" s="116"/>
      <c r="V44" s="116"/>
      <c r="W44" s="116"/>
      <c r="X44" s="116"/>
      <c r="Y44" s="116"/>
      <c r="Z44" s="116"/>
      <c r="AA44" s="116"/>
      <c r="AB44" s="116"/>
      <c r="AC44" s="116"/>
      <c r="AD44" s="116"/>
      <c r="AE44" s="116"/>
    </row>
    <row r="45" spans="1:31" x14ac:dyDescent="0.2">
      <c r="A45" s="479"/>
      <c r="B45" s="479"/>
      <c r="C45" s="507"/>
      <c r="D45" s="507"/>
      <c r="E45" s="507"/>
      <c r="F45" s="507"/>
      <c r="G45" s="159"/>
      <c r="H45" s="128"/>
      <c r="I45" s="157"/>
      <c r="J45" s="157"/>
      <c r="K45" s="157"/>
      <c r="L45" s="157"/>
      <c r="M45" s="116"/>
      <c r="N45" s="157"/>
      <c r="O45" s="116"/>
      <c r="P45" s="157"/>
      <c r="Q45" s="116"/>
      <c r="R45" s="157"/>
      <c r="S45" s="116"/>
      <c r="T45" s="157"/>
      <c r="U45" s="116"/>
      <c r="V45" s="116"/>
      <c r="W45" s="116"/>
      <c r="X45" s="116"/>
      <c r="Y45" s="116"/>
      <c r="Z45" s="116"/>
      <c r="AA45" s="116"/>
      <c r="AB45" s="116"/>
      <c r="AC45" s="116"/>
      <c r="AD45" s="116"/>
      <c r="AE45" s="116"/>
    </row>
    <row r="46" spans="1:31" s="116" customFormat="1" x14ac:dyDescent="0.2">
      <c r="C46" s="508"/>
      <c r="D46" s="508"/>
      <c r="G46" s="117"/>
      <c r="I46" s="160"/>
      <c r="J46" s="160"/>
      <c r="K46" s="160"/>
      <c r="L46" s="160"/>
      <c r="N46" s="160"/>
      <c r="P46" s="160"/>
      <c r="R46" s="160"/>
      <c r="T46" s="160"/>
    </row>
    <row r="47" spans="1:31" s="116" customFormat="1" x14ac:dyDescent="0.2">
      <c r="C47" s="508"/>
      <c r="D47" s="508"/>
      <c r="G47" s="117"/>
      <c r="I47" s="160"/>
      <c r="J47" s="160"/>
      <c r="K47" s="160"/>
      <c r="L47" s="160"/>
      <c r="N47" s="160"/>
      <c r="P47" s="160"/>
      <c r="R47" s="160"/>
      <c r="T47" s="160"/>
    </row>
    <row r="48" spans="1:31" s="116" customFormat="1" x14ac:dyDescent="0.2">
      <c r="G48" s="117"/>
      <c r="I48" s="160"/>
      <c r="J48" s="160"/>
      <c r="K48" s="160"/>
      <c r="L48" s="160"/>
      <c r="N48" s="160"/>
      <c r="P48" s="160"/>
      <c r="R48" s="160"/>
      <c r="T48" s="160"/>
    </row>
    <row r="49" spans="7:20" s="116" customFormat="1" x14ac:dyDescent="0.2">
      <c r="G49" s="117"/>
      <c r="I49" s="160"/>
      <c r="J49" s="160"/>
      <c r="K49" s="160"/>
      <c r="L49" s="160"/>
      <c r="N49" s="160"/>
      <c r="P49" s="160"/>
      <c r="R49" s="160"/>
      <c r="T49" s="160"/>
    </row>
    <row r="50" spans="7:20" s="116" customFormat="1" x14ac:dyDescent="0.2">
      <c r="G50" s="117"/>
      <c r="I50" s="160"/>
      <c r="J50" s="160"/>
      <c r="K50" s="160"/>
      <c r="L50" s="160"/>
      <c r="N50" s="160"/>
      <c r="P50" s="160"/>
      <c r="R50" s="160"/>
      <c r="T50" s="160"/>
    </row>
    <row r="51" spans="7:20" s="116" customFormat="1" x14ac:dyDescent="0.2">
      <c r="G51" s="117"/>
      <c r="I51" s="160"/>
      <c r="J51" s="160"/>
      <c r="K51" s="160"/>
      <c r="L51" s="160"/>
      <c r="N51" s="160"/>
      <c r="P51" s="160"/>
      <c r="R51" s="160"/>
      <c r="T51" s="160"/>
    </row>
    <row r="52" spans="7:20" s="116" customFormat="1" x14ac:dyDescent="0.2">
      <c r="G52" s="117"/>
      <c r="I52" s="160"/>
      <c r="J52" s="160"/>
      <c r="K52" s="160"/>
      <c r="L52" s="160"/>
      <c r="N52" s="160"/>
      <c r="P52" s="160"/>
      <c r="R52" s="160"/>
      <c r="T52" s="160"/>
    </row>
    <row r="53" spans="7:20" s="116" customFormat="1" x14ac:dyDescent="0.2">
      <c r="G53" s="117"/>
      <c r="I53" s="160"/>
      <c r="J53" s="160"/>
      <c r="K53" s="160"/>
      <c r="L53" s="160"/>
      <c r="N53" s="160"/>
      <c r="P53" s="160"/>
      <c r="R53" s="160"/>
      <c r="T53" s="160"/>
    </row>
    <row r="54" spans="7:20" s="116" customFormat="1" x14ac:dyDescent="0.2">
      <c r="G54" s="117"/>
      <c r="I54" s="160"/>
      <c r="J54" s="160"/>
      <c r="K54" s="160"/>
      <c r="L54" s="160"/>
      <c r="N54" s="160"/>
      <c r="P54" s="160"/>
      <c r="R54" s="160"/>
      <c r="T54" s="160"/>
    </row>
    <row r="55" spans="7:20" s="116" customFormat="1" x14ac:dyDescent="0.2">
      <c r="G55" s="117"/>
      <c r="I55" s="160"/>
      <c r="J55" s="160"/>
      <c r="K55" s="160"/>
      <c r="L55" s="160"/>
      <c r="N55" s="160"/>
      <c r="P55" s="160"/>
      <c r="R55" s="160"/>
      <c r="T55" s="160"/>
    </row>
    <row r="56" spans="7:20" s="116" customFormat="1" x14ac:dyDescent="0.2">
      <c r="G56" s="117"/>
      <c r="I56" s="160"/>
      <c r="J56" s="160"/>
      <c r="K56" s="160"/>
      <c r="L56" s="160"/>
      <c r="N56" s="160"/>
      <c r="P56" s="160"/>
      <c r="R56" s="160"/>
      <c r="T56" s="160"/>
    </row>
    <row r="57" spans="7:20" s="116" customFormat="1" x14ac:dyDescent="0.2">
      <c r="G57" s="117"/>
      <c r="I57" s="160"/>
      <c r="J57" s="160"/>
      <c r="K57" s="160"/>
      <c r="L57" s="160"/>
      <c r="N57" s="160"/>
      <c r="P57" s="160"/>
      <c r="R57" s="160"/>
      <c r="T57" s="160"/>
    </row>
    <row r="58" spans="7:20" s="116" customFormat="1" x14ac:dyDescent="0.2">
      <c r="G58" s="117"/>
      <c r="I58" s="160"/>
      <c r="J58" s="160"/>
      <c r="K58" s="160"/>
      <c r="L58" s="160"/>
      <c r="N58" s="160"/>
      <c r="P58" s="160"/>
      <c r="R58" s="160"/>
      <c r="T58" s="160"/>
    </row>
    <row r="59" spans="7:20" s="116" customFormat="1" x14ac:dyDescent="0.2">
      <c r="G59" s="117"/>
      <c r="I59" s="160"/>
      <c r="J59" s="160"/>
      <c r="K59" s="160"/>
      <c r="L59" s="160"/>
      <c r="N59" s="160"/>
      <c r="P59" s="160"/>
      <c r="R59" s="160"/>
      <c r="T59" s="160"/>
    </row>
    <row r="60" spans="7:20" s="116" customFormat="1" x14ac:dyDescent="0.2">
      <c r="G60" s="117"/>
      <c r="I60" s="160"/>
      <c r="J60" s="160"/>
      <c r="K60" s="160"/>
      <c r="L60" s="160"/>
      <c r="N60" s="160"/>
      <c r="P60" s="160"/>
      <c r="R60" s="160"/>
      <c r="T60" s="160"/>
    </row>
    <row r="61" spans="7:20" s="116" customFormat="1" x14ac:dyDescent="0.2">
      <c r="G61" s="117"/>
      <c r="I61" s="160"/>
      <c r="J61" s="160"/>
      <c r="K61" s="160"/>
      <c r="L61" s="160"/>
      <c r="N61" s="160"/>
      <c r="P61" s="160"/>
      <c r="R61" s="160"/>
      <c r="T61" s="160"/>
    </row>
    <row r="62" spans="7:20" s="116" customFormat="1" x14ac:dyDescent="0.2">
      <c r="G62" s="117"/>
      <c r="I62" s="160"/>
      <c r="J62" s="160"/>
      <c r="K62" s="160"/>
      <c r="L62" s="160"/>
      <c r="N62" s="160"/>
      <c r="P62" s="160"/>
      <c r="R62" s="160"/>
      <c r="T62" s="160"/>
    </row>
    <row r="63" spans="7:20" s="116" customFormat="1" x14ac:dyDescent="0.2">
      <c r="G63" s="117"/>
      <c r="I63" s="160"/>
      <c r="J63" s="160"/>
      <c r="K63" s="160"/>
      <c r="L63" s="160"/>
      <c r="N63" s="160"/>
      <c r="P63" s="160"/>
      <c r="R63" s="160"/>
      <c r="T63" s="160"/>
    </row>
    <row r="64" spans="7:20" s="116" customFormat="1" x14ac:dyDescent="0.2">
      <c r="G64" s="117"/>
    </row>
    <row r="65" spans="7:7" s="116" customFormat="1" x14ac:dyDescent="0.2">
      <c r="G65" s="117"/>
    </row>
    <row r="66" spans="7:7" s="116" customFormat="1" x14ac:dyDescent="0.2">
      <c r="G66" s="117"/>
    </row>
    <row r="67" spans="7:7" s="116" customFormat="1" x14ac:dyDescent="0.2">
      <c r="G67" s="117"/>
    </row>
    <row r="68" spans="7:7" s="116" customFormat="1" x14ac:dyDescent="0.2">
      <c r="G68" s="117"/>
    </row>
    <row r="69" spans="7:7" s="116" customFormat="1" x14ac:dyDescent="0.2">
      <c r="G69" s="117"/>
    </row>
    <row r="70" spans="7:7" s="116" customFormat="1" x14ac:dyDescent="0.2">
      <c r="G70" s="117"/>
    </row>
    <row r="71" spans="7:7" s="116" customFormat="1" x14ac:dyDescent="0.2">
      <c r="G71" s="117"/>
    </row>
    <row r="72" spans="7:7" s="116" customFormat="1" x14ac:dyDescent="0.2">
      <c r="G72" s="117"/>
    </row>
    <row r="73" spans="7:7" s="116" customFormat="1" x14ac:dyDescent="0.2">
      <c r="G73" s="117"/>
    </row>
    <row r="74" spans="7:7" s="116" customFormat="1" x14ac:dyDescent="0.2">
      <c r="G74" s="117"/>
    </row>
    <row r="75" spans="7:7" s="116" customFormat="1" x14ac:dyDescent="0.2">
      <c r="G75" s="117"/>
    </row>
    <row r="76" spans="7:7" s="116" customFormat="1" x14ac:dyDescent="0.2">
      <c r="G76" s="117"/>
    </row>
    <row r="77" spans="7:7" s="116" customFormat="1" x14ac:dyDescent="0.2">
      <c r="G77" s="117"/>
    </row>
    <row r="78" spans="7:7" s="116" customFormat="1" x14ac:dyDescent="0.2">
      <c r="G78" s="117"/>
    </row>
    <row r="79" spans="7:7" s="116" customFormat="1" x14ac:dyDescent="0.2">
      <c r="G79" s="117"/>
    </row>
    <row r="80" spans="7:7" s="116" customFormat="1" x14ac:dyDescent="0.2">
      <c r="G80" s="117"/>
    </row>
    <row r="81" spans="7:7" s="116" customFormat="1" x14ac:dyDescent="0.2">
      <c r="G81" s="117"/>
    </row>
    <row r="82" spans="7:7" s="116" customFormat="1" x14ac:dyDescent="0.2">
      <c r="G82" s="117"/>
    </row>
    <row r="83" spans="7:7" s="116" customFormat="1" x14ac:dyDescent="0.2">
      <c r="G83" s="117"/>
    </row>
    <row r="84" spans="7:7" s="116" customFormat="1" x14ac:dyDescent="0.2">
      <c r="G84" s="117"/>
    </row>
    <row r="85" spans="7:7" s="116" customFormat="1" x14ac:dyDescent="0.2">
      <c r="G85" s="117"/>
    </row>
    <row r="86" spans="7:7" s="116" customFormat="1" x14ac:dyDescent="0.2">
      <c r="G86" s="117"/>
    </row>
    <row r="87" spans="7:7" s="116" customFormat="1" x14ac:dyDescent="0.2">
      <c r="G87" s="117"/>
    </row>
    <row r="88" spans="7:7" s="116" customFormat="1" x14ac:dyDescent="0.2">
      <c r="G88" s="117"/>
    </row>
    <row r="89" spans="7:7" s="116" customFormat="1" x14ac:dyDescent="0.2">
      <c r="G89" s="117"/>
    </row>
    <row r="90" spans="7:7" s="116" customFormat="1" x14ac:dyDescent="0.2">
      <c r="G90" s="117"/>
    </row>
    <row r="91" spans="7:7" s="116" customFormat="1" x14ac:dyDescent="0.2">
      <c r="G91" s="117"/>
    </row>
    <row r="92" spans="7:7" s="116" customFormat="1" x14ac:dyDescent="0.2">
      <c r="G92" s="117"/>
    </row>
    <row r="93" spans="7:7" s="116" customFormat="1" x14ac:dyDescent="0.2">
      <c r="G93" s="117"/>
    </row>
    <row r="94" spans="7:7" s="116" customFormat="1" x14ac:dyDescent="0.2">
      <c r="G94" s="117"/>
    </row>
    <row r="95" spans="7:7" s="116" customFormat="1" x14ac:dyDescent="0.2">
      <c r="G95" s="117"/>
    </row>
    <row r="96" spans="7:7" s="116" customFormat="1" x14ac:dyDescent="0.2">
      <c r="G96" s="117"/>
    </row>
    <row r="97" spans="7:7" s="116" customFormat="1" x14ac:dyDescent="0.2">
      <c r="G97" s="117"/>
    </row>
    <row r="98" spans="7:7" s="116" customFormat="1" x14ac:dyDescent="0.2">
      <c r="G98" s="117"/>
    </row>
    <row r="99" spans="7:7" s="116" customFormat="1" x14ac:dyDescent="0.2">
      <c r="G99" s="117"/>
    </row>
    <row r="100" spans="7:7" s="116" customFormat="1" x14ac:dyDescent="0.2">
      <c r="G100" s="117"/>
    </row>
    <row r="101" spans="7:7" s="116" customFormat="1" x14ac:dyDescent="0.2">
      <c r="G101" s="117"/>
    </row>
    <row r="102" spans="7:7" s="116" customFormat="1" x14ac:dyDescent="0.2">
      <c r="G102" s="117"/>
    </row>
    <row r="103" spans="7:7" s="116" customFormat="1" x14ac:dyDescent="0.2">
      <c r="G103" s="117"/>
    </row>
    <row r="104" spans="7:7" s="116" customFormat="1" x14ac:dyDescent="0.2">
      <c r="G104" s="117"/>
    </row>
    <row r="105" spans="7:7" s="116" customFormat="1" x14ac:dyDescent="0.2">
      <c r="G105" s="117"/>
    </row>
    <row r="106" spans="7:7" s="116" customFormat="1" x14ac:dyDescent="0.2">
      <c r="G106" s="117"/>
    </row>
    <row r="107" spans="7:7" s="116" customFormat="1" x14ac:dyDescent="0.2">
      <c r="G107" s="117"/>
    </row>
    <row r="108" spans="7:7" s="116" customFormat="1" x14ac:dyDescent="0.2">
      <c r="G108" s="117"/>
    </row>
    <row r="109" spans="7:7" s="116" customFormat="1" x14ac:dyDescent="0.2">
      <c r="G109" s="117"/>
    </row>
    <row r="110" spans="7:7" s="116" customFormat="1" x14ac:dyDescent="0.2">
      <c r="G110" s="117"/>
    </row>
    <row r="111" spans="7:7" s="116" customFormat="1" x14ac:dyDescent="0.2">
      <c r="G111" s="117"/>
    </row>
    <row r="112" spans="7:7" s="116" customFormat="1" x14ac:dyDescent="0.2">
      <c r="G112" s="117"/>
    </row>
    <row r="113" spans="7:7" s="116" customFormat="1" x14ac:dyDescent="0.2">
      <c r="G113" s="117"/>
    </row>
    <row r="114" spans="7:7" s="116" customFormat="1" x14ac:dyDescent="0.2">
      <c r="G114" s="117"/>
    </row>
    <row r="115" spans="7:7" s="116" customFormat="1" x14ac:dyDescent="0.2">
      <c r="G115" s="117"/>
    </row>
    <row r="116" spans="7:7" s="116" customFormat="1" x14ac:dyDescent="0.2">
      <c r="G116" s="117"/>
    </row>
    <row r="117" spans="7:7" s="116" customFormat="1" x14ac:dyDescent="0.2">
      <c r="G117" s="117"/>
    </row>
    <row r="118" spans="7:7" s="116" customFormat="1" x14ac:dyDescent="0.2">
      <c r="G118" s="117"/>
    </row>
    <row r="119" spans="7:7" s="116" customFormat="1" x14ac:dyDescent="0.2">
      <c r="G119" s="117"/>
    </row>
    <row r="120" spans="7:7" s="116" customFormat="1" x14ac:dyDescent="0.2">
      <c r="G120" s="117"/>
    </row>
    <row r="121" spans="7:7" s="116" customFormat="1" x14ac:dyDescent="0.2">
      <c r="G121" s="117"/>
    </row>
    <row r="122" spans="7:7" s="116" customFormat="1" x14ac:dyDescent="0.2">
      <c r="G122" s="117"/>
    </row>
    <row r="123" spans="7:7" s="116" customFormat="1" x14ac:dyDescent="0.2">
      <c r="G123" s="117"/>
    </row>
    <row r="124" spans="7:7" s="116" customFormat="1" x14ac:dyDescent="0.2">
      <c r="G124" s="117"/>
    </row>
    <row r="125" spans="7:7" s="116" customFormat="1" x14ac:dyDescent="0.2">
      <c r="G125" s="117"/>
    </row>
    <row r="126" spans="7:7" s="116" customFormat="1" x14ac:dyDescent="0.2">
      <c r="G126" s="117"/>
    </row>
    <row r="127" spans="7:7" s="116" customFormat="1" x14ac:dyDescent="0.2">
      <c r="G127" s="117"/>
    </row>
    <row r="128" spans="7:7" s="116" customFormat="1" x14ac:dyDescent="0.2">
      <c r="G128" s="117"/>
    </row>
    <row r="129" spans="7:7" s="116" customFormat="1" x14ac:dyDescent="0.2">
      <c r="G129" s="117"/>
    </row>
    <row r="130" spans="7:7" s="116" customFormat="1" x14ac:dyDescent="0.2">
      <c r="G130" s="117"/>
    </row>
    <row r="131" spans="7:7" s="116" customFormat="1" x14ac:dyDescent="0.2">
      <c r="G131" s="117"/>
    </row>
    <row r="132" spans="7:7" s="116" customFormat="1" x14ac:dyDescent="0.2">
      <c r="G132" s="117"/>
    </row>
    <row r="133" spans="7:7" s="116" customFormat="1" x14ac:dyDescent="0.2">
      <c r="G133" s="117"/>
    </row>
    <row r="134" spans="7:7" s="116" customFormat="1" x14ac:dyDescent="0.2">
      <c r="G134" s="117"/>
    </row>
    <row r="135" spans="7:7" s="116" customFormat="1" x14ac:dyDescent="0.2">
      <c r="G135" s="117"/>
    </row>
    <row r="136" spans="7:7" s="116" customFormat="1" x14ac:dyDescent="0.2">
      <c r="G136" s="117"/>
    </row>
    <row r="137" spans="7:7" s="116" customFormat="1" x14ac:dyDescent="0.2">
      <c r="G137" s="117"/>
    </row>
    <row r="138" spans="7:7" s="116" customFormat="1" x14ac:dyDescent="0.2">
      <c r="G138" s="117"/>
    </row>
    <row r="139" spans="7:7" s="116" customFormat="1" x14ac:dyDescent="0.2">
      <c r="G139" s="117"/>
    </row>
    <row r="140" spans="7:7" s="116" customFormat="1" x14ac:dyDescent="0.2">
      <c r="G140" s="117"/>
    </row>
    <row r="141" spans="7:7" s="116" customFormat="1" x14ac:dyDescent="0.2">
      <c r="G141" s="117"/>
    </row>
    <row r="142" spans="7:7" s="116" customFormat="1" x14ac:dyDescent="0.2">
      <c r="G142" s="117"/>
    </row>
    <row r="143" spans="7:7" s="116" customFormat="1" x14ac:dyDescent="0.2">
      <c r="G143" s="117"/>
    </row>
    <row r="144" spans="7:7" s="116" customFormat="1" x14ac:dyDescent="0.2">
      <c r="G144" s="117"/>
    </row>
    <row r="145" spans="7:7" s="116" customFormat="1" x14ac:dyDescent="0.2">
      <c r="G145" s="117"/>
    </row>
    <row r="146" spans="7:7" s="116" customFormat="1" x14ac:dyDescent="0.2">
      <c r="G146" s="117"/>
    </row>
    <row r="147" spans="7:7" s="116" customFormat="1" x14ac:dyDescent="0.2">
      <c r="G147" s="117"/>
    </row>
    <row r="148" spans="7:7" s="116" customFormat="1" x14ac:dyDescent="0.2">
      <c r="G148" s="117"/>
    </row>
    <row r="149" spans="7:7" s="116" customFormat="1" x14ac:dyDescent="0.2">
      <c r="G149" s="117"/>
    </row>
    <row r="150" spans="7:7" s="116" customFormat="1" x14ac:dyDescent="0.2">
      <c r="G150" s="117"/>
    </row>
    <row r="151" spans="7:7" s="116" customFormat="1" x14ac:dyDescent="0.2">
      <c r="G151" s="117"/>
    </row>
    <row r="152" spans="7:7" s="116" customFormat="1" x14ac:dyDescent="0.2">
      <c r="G152" s="117"/>
    </row>
    <row r="153" spans="7:7" s="116" customFormat="1" x14ac:dyDescent="0.2">
      <c r="G153" s="117"/>
    </row>
    <row r="154" spans="7:7" s="116" customFormat="1" x14ac:dyDescent="0.2">
      <c r="G154" s="117"/>
    </row>
    <row r="155" spans="7:7" s="116" customFormat="1" x14ac:dyDescent="0.2">
      <c r="G155" s="117"/>
    </row>
    <row r="156" spans="7:7" s="116" customFormat="1" x14ac:dyDescent="0.2">
      <c r="G156" s="117"/>
    </row>
    <row r="157" spans="7:7" s="116" customFormat="1" x14ac:dyDescent="0.2">
      <c r="G157" s="117"/>
    </row>
    <row r="158" spans="7:7" s="116" customFormat="1" x14ac:dyDescent="0.2">
      <c r="G158" s="117"/>
    </row>
    <row r="159" spans="7:7" s="116" customFormat="1" x14ac:dyDescent="0.2">
      <c r="G159" s="117"/>
    </row>
    <row r="160" spans="7:7" s="116" customFormat="1" x14ac:dyDescent="0.2">
      <c r="G160" s="117"/>
    </row>
    <row r="161" spans="7:7" s="116" customFormat="1" x14ac:dyDescent="0.2">
      <c r="G161" s="117"/>
    </row>
    <row r="162" spans="7:7" s="116" customFormat="1" x14ac:dyDescent="0.2">
      <c r="G162" s="117"/>
    </row>
    <row r="163" spans="7:7" s="116" customFormat="1" x14ac:dyDescent="0.2">
      <c r="G163" s="117"/>
    </row>
    <row r="164" spans="7:7" s="116" customFormat="1" x14ac:dyDescent="0.2">
      <c r="G164" s="117"/>
    </row>
    <row r="165" spans="7:7" s="116" customFormat="1" x14ac:dyDescent="0.2">
      <c r="G165" s="117"/>
    </row>
    <row r="166" spans="7:7" s="116" customFormat="1" x14ac:dyDescent="0.2">
      <c r="G166" s="117"/>
    </row>
    <row r="167" spans="7:7" s="116" customFormat="1" x14ac:dyDescent="0.2">
      <c r="G167" s="117"/>
    </row>
    <row r="168" spans="7:7" s="116" customFormat="1" x14ac:dyDescent="0.2">
      <c r="G168" s="117"/>
    </row>
    <row r="169" spans="7:7" s="116" customFormat="1" x14ac:dyDescent="0.2">
      <c r="G169" s="117"/>
    </row>
    <row r="170" spans="7:7" s="116" customFormat="1" x14ac:dyDescent="0.2">
      <c r="G170" s="117"/>
    </row>
    <row r="171" spans="7:7" s="116" customFormat="1" x14ac:dyDescent="0.2">
      <c r="G171" s="117"/>
    </row>
    <row r="172" spans="7:7" s="116" customFormat="1" x14ac:dyDescent="0.2">
      <c r="G172" s="117"/>
    </row>
    <row r="173" spans="7:7" s="116" customFormat="1" x14ac:dyDescent="0.2">
      <c r="G173" s="117"/>
    </row>
    <row r="174" spans="7:7" s="116" customFormat="1" x14ac:dyDescent="0.2">
      <c r="G174" s="117"/>
    </row>
    <row r="175" spans="7:7" s="116" customFormat="1" x14ac:dyDescent="0.2">
      <c r="G175" s="117"/>
    </row>
    <row r="176" spans="7:7" s="116" customFormat="1" x14ac:dyDescent="0.2">
      <c r="G176" s="117"/>
    </row>
    <row r="177" spans="7:7" s="116" customFormat="1" x14ac:dyDescent="0.2">
      <c r="G177" s="117"/>
    </row>
    <row r="178" spans="7:7" s="116" customFormat="1" x14ac:dyDescent="0.2">
      <c r="G178" s="117"/>
    </row>
    <row r="179" spans="7:7" s="116" customFormat="1" x14ac:dyDescent="0.2">
      <c r="G179" s="117"/>
    </row>
    <row r="180" spans="7:7" s="116" customFormat="1" x14ac:dyDescent="0.2">
      <c r="G180" s="117"/>
    </row>
    <row r="181" spans="7:7" s="116" customFormat="1" x14ac:dyDescent="0.2">
      <c r="G181" s="117"/>
    </row>
    <row r="182" spans="7:7" s="116" customFormat="1" x14ac:dyDescent="0.2">
      <c r="G182" s="117"/>
    </row>
    <row r="183" spans="7:7" s="116" customFormat="1" x14ac:dyDescent="0.2">
      <c r="G183" s="117"/>
    </row>
    <row r="184" spans="7:7" s="116" customFormat="1" x14ac:dyDescent="0.2">
      <c r="G184" s="117"/>
    </row>
    <row r="185" spans="7:7" s="116" customFormat="1" x14ac:dyDescent="0.2">
      <c r="G185" s="117"/>
    </row>
    <row r="186" spans="7:7" s="116" customFormat="1" x14ac:dyDescent="0.2">
      <c r="G186" s="117"/>
    </row>
    <row r="187" spans="7:7" s="116" customFormat="1" x14ac:dyDescent="0.2">
      <c r="G187" s="117"/>
    </row>
    <row r="188" spans="7:7" s="116" customFormat="1" x14ac:dyDescent="0.2">
      <c r="G188" s="117"/>
    </row>
    <row r="189" spans="7:7" s="116" customFormat="1" x14ac:dyDescent="0.2">
      <c r="G189" s="117"/>
    </row>
    <row r="190" spans="7:7" s="116" customFormat="1" x14ac:dyDescent="0.2">
      <c r="G190" s="117"/>
    </row>
    <row r="191" spans="7:7" s="116" customFormat="1" x14ac:dyDescent="0.2">
      <c r="G191" s="117"/>
    </row>
    <row r="192" spans="7:7" s="116" customFormat="1" x14ac:dyDescent="0.2">
      <c r="G192" s="117"/>
    </row>
    <row r="193" spans="7:7" s="116" customFormat="1" x14ac:dyDescent="0.2">
      <c r="G193" s="117"/>
    </row>
    <row r="194" spans="7:7" s="116" customFormat="1" x14ac:dyDescent="0.2">
      <c r="G194" s="117"/>
    </row>
    <row r="195" spans="7:7" s="116" customFormat="1" x14ac:dyDescent="0.2">
      <c r="G195" s="117"/>
    </row>
    <row r="196" spans="7:7" s="116" customFormat="1" x14ac:dyDescent="0.2">
      <c r="G196" s="117"/>
    </row>
    <row r="197" spans="7:7" s="116" customFormat="1" x14ac:dyDescent="0.2">
      <c r="G197" s="117"/>
    </row>
    <row r="198" spans="7:7" s="116" customFormat="1" x14ac:dyDescent="0.2">
      <c r="G198" s="117"/>
    </row>
    <row r="199" spans="7:7" s="116" customFormat="1" x14ac:dyDescent="0.2">
      <c r="G199" s="117"/>
    </row>
    <row r="200" spans="7:7" s="116" customFormat="1" x14ac:dyDescent="0.2">
      <c r="G200" s="117"/>
    </row>
    <row r="201" spans="7:7" s="116" customFormat="1" x14ac:dyDescent="0.2">
      <c r="G201" s="117"/>
    </row>
    <row r="202" spans="7:7" s="116" customFormat="1" x14ac:dyDescent="0.2">
      <c r="G202" s="117"/>
    </row>
    <row r="203" spans="7:7" s="116" customFormat="1" x14ac:dyDescent="0.2">
      <c r="G203" s="117"/>
    </row>
    <row r="204" spans="7:7" s="116" customFormat="1" x14ac:dyDescent="0.2">
      <c r="G204" s="117"/>
    </row>
    <row r="205" spans="7:7" s="116" customFormat="1" x14ac:dyDescent="0.2">
      <c r="G205" s="117"/>
    </row>
    <row r="206" spans="7:7" s="116" customFormat="1" x14ac:dyDescent="0.2">
      <c r="G206" s="117"/>
    </row>
    <row r="207" spans="7:7" s="116" customFormat="1" x14ac:dyDescent="0.2">
      <c r="G207" s="117"/>
    </row>
    <row r="208" spans="7:7" s="116" customFormat="1" x14ac:dyDescent="0.2">
      <c r="G208" s="117"/>
    </row>
    <row r="209" spans="7:7" s="116" customFormat="1" x14ac:dyDescent="0.2">
      <c r="G209" s="117"/>
    </row>
    <row r="210" spans="7:7" s="116" customFormat="1" x14ac:dyDescent="0.2">
      <c r="G210" s="117"/>
    </row>
    <row r="211" spans="7:7" s="116" customFormat="1" x14ac:dyDescent="0.2">
      <c r="G211" s="117"/>
    </row>
    <row r="212" spans="7:7" s="116" customFormat="1" x14ac:dyDescent="0.2">
      <c r="G212" s="117"/>
    </row>
    <row r="213" spans="7:7" s="116" customFormat="1" x14ac:dyDescent="0.2">
      <c r="G213" s="117"/>
    </row>
    <row r="214" spans="7:7" s="116" customFormat="1" x14ac:dyDescent="0.2">
      <c r="G214" s="117"/>
    </row>
    <row r="215" spans="7:7" s="116" customFormat="1" x14ac:dyDescent="0.2">
      <c r="G215" s="117"/>
    </row>
    <row r="216" spans="7:7" s="116" customFormat="1" x14ac:dyDescent="0.2">
      <c r="G216" s="117"/>
    </row>
    <row r="217" spans="7:7" s="116" customFormat="1" x14ac:dyDescent="0.2">
      <c r="G217" s="117"/>
    </row>
    <row r="218" spans="7:7" s="116" customFormat="1" x14ac:dyDescent="0.2">
      <c r="G218" s="117"/>
    </row>
    <row r="219" spans="7:7" s="116" customFormat="1" x14ac:dyDescent="0.2">
      <c r="G219" s="117"/>
    </row>
    <row r="220" spans="7:7" s="116" customFormat="1" x14ac:dyDescent="0.2">
      <c r="G220" s="117"/>
    </row>
    <row r="221" spans="7:7" s="116" customFormat="1" x14ac:dyDescent="0.2">
      <c r="G221" s="117"/>
    </row>
    <row r="222" spans="7:7" s="116" customFormat="1" x14ac:dyDescent="0.2">
      <c r="G222" s="117"/>
    </row>
    <row r="223" spans="7:7" s="116" customFormat="1" x14ac:dyDescent="0.2">
      <c r="G223" s="117"/>
    </row>
    <row r="224" spans="7:7" s="116" customFormat="1" x14ac:dyDescent="0.2">
      <c r="G224" s="117"/>
    </row>
    <row r="225" spans="7:7" s="116" customFormat="1" x14ac:dyDescent="0.2">
      <c r="G225" s="117"/>
    </row>
    <row r="226" spans="7:7" s="116" customFormat="1" x14ac:dyDescent="0.2">
      <c r="G226" s="117"/>
    </row>
    <row r="227" spans="7:7" s="116" customFormat="1" x14ac:dyDescent="0.2">
      <c r="G227" s="117"/>
    </row>
    <row r="228" spans="7:7" s="116" customFormat="1" x14ac:dyDescent="0.2">
      <c r="G228" s="117"/>
    </row>
    <row r="229" spans="7:7" s="116" customFormat="1" x14ac:dyDescent="0.2">
      <c r="G229" s="117"/>
    </row>
    <row r="230" spans="7:7" s="116" customFormat="1" x14ac:dyDescent="0.2">
      <c r="G230" s="117"/>
    </row>
    <row r="231" spans="7:7" s="116" customFormat="1" x14ac:dyDescent="0.2">
      <c r="G231" s="117"/>
    </row>
    <row r="232" spans="7:7" s="116" customFormat="1" x14ac:dyDescent="0.2">
      <c r="G232" s="117"/>
    </row>
    <row r="233" spans="7:7" s="116" customFormat="1" x14ac:dyDescent="0.2">
      <c r="G233" s="117"/>
    </row>
    <row r="234" spans="7:7" s="116" customFormat="1" x14ac:dyDescent="0.2">
      <c r="G234" s="117"/>
    </row>
    <row r="235" spans="7:7" s="116" customFormat="1" x14ac:dyDescent="0.2">
      <c r="G235" s="117"/>
    </row>
    <row r="236" spans="7:7" s="116" customFormat="1" x14ac:dyDescent="0.2">
      <c r="G236" s="117"/>
    </row>
    <row r="237" spans="7:7" s="116" customFormat="1" x14ac:dyDescent="0.2">
      <c r="G237" s="117"/>
    </row>
    <row r="238" spans="7:7" s="116" customFormat="1" x14ac:dyDescent="0.2">
      <c r="G238" s="117"/>
    </row>
    <row r="239" spans="7:7" s="116" customFormat="1" x14ac:dyDescent="0.2">
      <c r="G239" s="117"/>
    </row>
    <row r="240" spans="7:7" s="116" customFormat="1" x14ac:dyDescent="0.2">
      <c r="G240" s="117"/>
    </row>
    <row r="241" spans="7:7" s="116" customFormat="1" x14ac:dyDescent="0.2">
      <c r="G241" s="117"/>
    </row>
    <row r="242" spans="7:7" s="116" customFormat="1" x14ac:dyDescent="0.2">
      <c r="G242" s="117"/>
    </row>
    <row r="243" spans="7:7" s="116" customFormat="1" x14ac:dyDescent="0.2">
      <c r="G243" s="117"/>
    </row>
    <row r="244" spans="7:7" s="116" customFormat="1" x14ac:dyDescent="0.2">
      <c r="G244" s="117"/>
    </row>
    <row r="245" spans="7:7" s="116" customFormat="1" x14ac:dyDescent="0.2">
      <c r="G245" s="117"/>
    </row>
    <row r="246" spans="7:7" s="116" customFormat="1" x14ac:dyDescent="0.2">
      <c r="G246" s="117"/>
    </row>
    <row r="247" spans="7:7" s="116" customFormat="1" x14ac:dyDescent="0.2">
      <c r="G247" s="117"/>
    </row>
    <row r="248" spans="7:7" s="116" customFormat="1" x14ac:dyDescent="0.2">
      <c r="G248" s="117"/>
    </row>
    <row r="249" spans="7:7" s="116" customFormat="1" x14ac:dyDescent="0.2">
      <c r="G249" s="117"/>
    </row>
    <row r="250" spans="7:7" s="116" customFormat="1" x14ac:dyDescent="0.2">
      <c r="G250" s="117"/>
    </row>
    <row r="251" spans="7:7" s="116" customFormat="1" x14ac:dyDescent="0.2">
      <c r="G251" s="117"/>
    </row>
    <row r="252" spans="7:7" s="116" customFormat="1" x14ac:dyDescent="0.2">
      <c r="G252" s="117"/>
    </row>
    <row r="253" spans="7:7" s="116" customFormat="1" x14ac:dyDescent="0.2">
      <c r="G253" s="117"/>
    </row>
    <row r="254" spans="7:7" s="116" customFormat="1" x14ac:dyDescent="0.2">
      <c r="G254" s="117"/>
    </row>
    <row r="255" spans="7:7" s="116" customFormat="1" x14ac:dyDescent="0.2">
      <c r="G255" s="117"/>
    </row>
    <row r="256" spans="7:7" s="116" customFormat="1" x14ac:dyDescent="0.2">
      <c r="G256" s="117"/>
    </row>
    <row r="257" spans="7:7" s="116" customFormat="1" x14ac:dyDescent="0.2">
      <c r="G257" s="117"/>
    </row>
    <row r="258" spans="7:7" s="116" customFormat="1" x14ac:dyDescent="0.2">
      <c r="G258" s="117"/>
    </row>
    <row r="259" spans="7:7" s="116" customFormat="1" x14ac:dyDescent="0.2">
      <c r="G259" s="117"/>
    </row>
    <row r="260" spans="7:7" s="116" customFormat="1" x14ac:dyDescent="0.2">
      <c r="G260" s="117"/>
    </row>
    <row r="261" spans="7:7" s="116" customFormat="1" x14ac:dyDescent="0.2">
      <c r="G261" s="117"/>
    </row>
    <row r="262" spans="7:7" s="116" customFormat="1" x14ac:dyDescent="0.2">
      <c r="G262" s="117"/>
    </row>
    <row r="263" spans="7:7" s="116" customFormat="1" x14ac:dyDescent="0.2">
      <c r="G263" s="117"/>
    </row>
    <row r="264" spans="7:7" s="116" customFormat="1" x14ac:dyDescent="0.2">
      <c r="G264" s="117"/>
    </row>
    <row r="265" spans="7:7" s="116" customFormat="1" x14ac:dyDescent="0.2">
      <c r="G265" s="117"/>
    </row>
    <row r="266" spans="7:7" s="116" customFormat="1" x14ac:dyDescent="0.2">
      <c r="G266" s="117"/>
    </row>
    <row r="267" spans="7:7" s="116" customFormat="1" x14ac:dyDescent="0.2">
      <c r="G267" s="117"/>
    </row>
    <row r="268" spans="7:7" s="116" customFormat="1" x14ac:dyDescent="0.2">
      <c r="G268" s="117"/>
    </row>
    <row r="269" spans="7:7" s="116" customFormat="1" x14ac:dyDescent="0.2">
      <c r="G269" s="117"/>
    </row>
    <row r="270" spans="7:7" s="116" customFormat="1" x14ac:dyDescent="0.2">
      <c r="G270" s="117"/>
    </row>
    <row r="271" spans="7:7" s="116" customFormat="1" x14ac:dyDescent="0.2">
      <c r="G271" s="117"/>
    </row>
    <row r="272" spans="7:7" s="116" customFormat="1" x14ac:dyDescent="0.2">
      <c r="G272" s="117"/>
    </row>
    <row r="273" spans="7:7" s="116" customFormat="1" x14ac:dyDescent="0.2">
      <c r="G273" s="117"/>
    </row>
    <row r="274" spans="7:7" s="116" customFormat="1" x14ac:dyDescent="0.2">
      <c r="G274" s="117"/>
    </row>
    <row r="275" spans="7:7" s="116" customFormat="1" x14ac:dyDescent="0.2">
      <c r="G275" s="117"/>
    </row>
    <row r="276" spans="7:7" s="116" customFormat="1" x14ac:dyDescent="0.2">
      <c r="G276" s="117"/>
    </row>
    <row r="277" spans="7:7" s="116" customFormat="1" x14ac:dyDescent="0.2">
      <c r="G277" s="117"/>
    </row>
    <row r="278" spans="7:7" s="116" customFormat="1" x14ac:dyDescent="0.2">
      <c r="G278" s="117"/>
    </row>
    <row r="279" spans="7:7" s="116" customFormat="1" x14ac:dyDescent="0.2">
      <c r="G279" s="117"/>
    </row>
    <row r="280" spans="7:7" s="116" customFormat="1" x14ac:dyDescent="0.2">
      <c r="G280" s="117"/>
    </row>
    <row r="281" spans="7:7" s="116" customFormat="1" x14ac:dyDescent="0.2">
      <c r="G281" s="117"/>
    </row>
    <row r="282" spans="7:7" s="116" customFormat="1" x14ac:dyDescent="0.2">
      <c r="G282" s="117"/>
    </row>
    <row r="283" spans="7:7" s="116" customFormat="1" x14ac:dyDescent="0.2">
      <c r="G283" s="117"/>
    </row>
    <row r="284" spans="7:7" s="116" customFormat="1" x14ac:dyDescent="0.2">
      <c r="G284" s="117"/>
    </row>
    <row r="285" spans="7:7" s="116" customFormat="1" x14ac:dyDescent="0.2">
      <c r="G285" s="117"/>
    </row>
    <row r="286" spans="7:7" s="116" customFormat="1" x14ac:dyDescent="0.2">
      <c r="G286" s="117"/>
    </row>
    <row r="287" spans="7:7" s="116" customFormat="1" x14ac:dyDescent="0.2">
      <c r="G287" s="117"/>
    </row>
    <row r="288" spans="7:7" s="116" customFormat="1" x14ac:dyDescent="0.2">
      <c r="G288" s="117"/>
    </row>
    <row r="289" spans="7:7" s="116" customFormat="1" x14ac:dyDescent="0.2">
      <c r="G289" s="117"/>
    </row>
    <row r="290" spans="7:7" s="116" customFormat="1" x14ac:dyDescent="0.2">
      <c r="G290" s="117"/>
    </row>
    <row r="291" spans="7:7" s="116" customFormat="1" x14ac:dyDescent="0.2">
      <c r="G291" s="117"/>
    </row>
    <row r="292" spans="7:7" s="116" customFormat="1" x14ac:dyDescent="0.2">
      <c r="G292" s="117"/>
    </row>
    <row r="293" spans="7:7" s="116" customFormat="1" x14ac:dyDescent="0.2">
      <c r="G293" s="117"/>
    </row>
    <row r="294" spans="7:7" s="116" customFormat="1" x14ac:dyDescent="0.2">
      <c r="G294" s="117"/>
    </row>
    <row r="295" spans="7:7" s="116" customFormat="1" x14ac:dyDescent="0.2">
      <c r="G295" s="117"/>
    </row>
    <row r="296" spans="7:7" s="116" customFormat="1" x14ac:dyDescent="0.2">
      <c r="G296" s="117"/>
    </row>
    <row r="297" spans="7:7" s="116" customFormat="1" x14ac:dyDescent="0.2">
      <c r="G297" s="117"/>
    </row>
    <row r="298" spans="7:7" s="116" customFormat="1" x14ac:dyDescent="0.2">
      <c r="G298" s="117"/>
    </row>
    <row r="299" spans="7:7" s="116" customFormat="1" x14ac:dyDescent="0.2">
      <c r="G299" s="117"/>
    </row>
    <row r="300" spans="7:7" s="116" customFormat="1" x14ac:dyDescent="0.2">
      <c r="G300" s="117"/>
    </row>
    <row r="301" spans="7:7" s="116" customFormat="1" x14ac:dyDescent="0.2">
      <c r="G301" s="117"/>
    </row>
    <row r="302" spans="7:7" s="116" customFormat="1" x14ac:dyDescent="0.2">
      <c r="G302" s="117"/>
    </row>
    <row r="303" spans="7:7" s="116" customFormat="1" x14ac:dyDescent="0.2">
      <c r="G303" s="117"/>
    </row>
    <row r="304" spans="7:7" s="116" customFormat="1" x14ac:dyDescent="0.2">
      <c r="G304" s="117"/>
    </row>
    <row r="305" spans="7:7" s="116" customFormat="1" x14ac:dyDescent="0.2">
      <c r="G305" s="117"/>
    </row>
    <row r="306" spans="7:7" s="116" customFormat="1" x14ac:dyDescent="0.2">
      <c r="G306" s="117"/>
    </row>
    <row r="307" spans="7:7" s="116" customFormat="1" x14ac:dyDescent="0.2">
      <c r="G307" s="117"/>
    </row>
    <row r="308" spans="7:7" s="116" customFormat="1" x14ac:dyDescent="0.2">
      <c r="G308" s="117"/>
    </row>
    <row r="309" spans="7:7" s="116" customFormat="1" x14ac:dyDescent="0.2">
      <c r="G309" s="117"/>
    </row>
    <row r="310" spans="7:7" s="116" customFormat="1" x14ac:dyDescent="0.2">
      <c r="G310" s="117"/>
    </row>
    <row r="311" spans="7:7" s="116" customFormat="1" x14ac:dyDescent="0.2">
      <c r="G311" s="117"/>
    </row>
    <row r="312" spans="7:7" s="116" customFormat="1" x14ac:dyDescent="0.2">
      <c r="G312" s="117"/>
    </row>
    <row r="313" spans="7:7" s="116" customFormat="1" x14ac:dyDescent="0.2">
      <c r="G313" s="117"/>
    </row>
    <row r="314" spans="7:7" s="116" customFormat="1" x14ac:dyDescent="0.2">
      <c r="G314" s="117"/>
    </row>
    <row r="315" spans="7:7" s="116" customFormat="1" x14ac:dyDescent="0.2">
      <c r="G315" s="117"/>
    </row>
    <row r="316" spans="7:7" s="116" customFormat="1" x14ac:dyDescent="0.2">
      <c r="G316" s="117"/>
    </row>
    <row r="317" spans="7:7" s="116" customFormat="1" x14ac:dyDescent="0.2">
      <c r="G317" s="117"/>
    </row>
    <row r="318" spans="7:7" s="116" customFormat="1" x14ac:dyDescent="0.2">
      <c r="G318" s="117"/>
    </row>
    <row r="319" spans="7:7" s="116" customFormat="1" x14ac:dyDescent="0.2">
      <c r="G319" s="117"/>
    </row>
    <row r="320" spans="7:7" s="116" customFormat="1" x14ac:dyDescent="0.2">
      <c r="G320" s="117"/>
    </row>
    <row r="321" spans="7:7" s="116" customFormat="1" x14ac:dyDescent="0.2">
      <c r="G321" s="117"/>
    </row>
    <row r="322" spans="7:7" s="116" customFormat="1" x14ac:dyDescent="0.2">
      <c r="G322" s="117"/>
    </row>
    <row r="323" spans="7:7" s="116" customFormat="1" x14ac:dyDescent="0.2">
      <c r="G323" s="117"/>
    </row>
    <row r="324" spans="7:7" s="116" customFormat="1" x14ac:dyDescent="0.2">
      <c r="G324" s="117"/>
    </row>
    <row r="325" spans="7:7" s="116" customFormat="1" x14ac:dyDescent="0.2">
      <c r="G325" s="117"/>
    </row>
    <row r="326" spans="7:7" s="116" customFormat="1" x14ac:dyDescent="0.2">
      <c r="G326" s="117"/>
    </row>
    <row r="327" spans="7:7" s="116" customFormat="1" x14ac:dyDescent="0.2">
      <c r="G327" s="117"/>
    </row>
    <row r="328" spans="7:7" s="116" customFormat="1" x14ac:dyDescent="0.2">
      <c r="G328" s="117"/>
    </row>
    <row r="329" spans="7:7" s="116" customFormat="1" x14ac:dyDescent="0.2">
      <c r="G329" s="117"/>
    </row>
    <row r="330" spans="7:7" s="116" customFormat="1" x14ac:dyDescent="0.2">
      <c r="G330" s="117"/>
    </row>
    <row r="331" spans="7:7" s="116" customFormat="1" x14ac:dyDescent="0.2">
      <c r="G331" s="117"/>
    </row>
    <row r="332" spans="7:7" s="116" customFormat="1" x14ac:dyDescent="0.2">
      <c r="G332" s="117"/>
    </row>
    <row r="333" spans="7:7" s="116" customFormat="1" x14ac:dyDescent="0.2">
      <c r="G333" s="117"/>
    </row>
    <row r="334" spans="7:7" s="116" customFormat="1" x14ac:dyDescent="0.2">
      <c r="G334" s="117"/>
    </row>
    <row r="335" spans="7:7" s="116" customFormat="1" x14ac:dyDescent="0.2">
      <c r="G335" s="117"/>
    </row>
    <row r="336" spans="7:7" s="116" customFormat="1" x14ac:dyDescent="0.2">
      <c r="G336" s="117"/>
    </row>
    <row r="337" spans="7:7" s="116" customFormat="1" x14ac:dyDescent="0.2">
      <c r="G337" s="117"/>
    </row>
    <row r="338" spans="7:7" s="116" customFormat="1" x14ac:dyDescent="0.2">
      <c r="G338" s="117"/>
    </row>
    <row r="339" spans="7:7" s="116" customFormat="1" x14ac:dyDescent="0.2">
      <c r="G339" s="117"/>
    </row>
    <row r="340" spans="7:7" s="116" customFormat="1" x14ac:dyDescent="0.2">
      <c r="G340" s="117"/>
    </row>
    <row r="341" spans="7:7" s="116" customFormat="1" x14ac:dyDescent="0.2">
      <c r="G341" s="117"/>
    </row>
    <row r="342" spans="7:7" s="116" customFormat="1" x14ac:dyDescent="0.2">
      <c r="G342" s="117"/>
    </row>
    <row r="343" spans="7:7" s="116" customFormat="1" x14ac:dyDescent="0.2">
      <c r="G343" s="117"/>
    </row>
    <row r="344" spans="7:7" s="116" customFormat="1" x14ac:dyDescent="0.2">
      <c r="G344" s="117"/>
    </row>
    <row r="345" spans="7:7" s="116" customFormat="1" x14ac:dyDescent="0.2">
      <c r="G345" s="117"/>
    </row>
    <row r="346" spans="7:7" s="116" customFormat="1" x14ac:dyDescent="0.2">
      <c r="G346" s="117"/>
    </row>
    <row r="347" spans="7:7" s="116" customFormat="1" x14ac:dyDescent="0.2">
      <c r="G347" s="117"/>
    </row>
    <row r="348" spans="7:7" s="116" customFormat="1" x14ac:dyDescent="0.2">
      <c r="G348" s="117"/>
    </row>
    <row r="349" spans="7:7" s="116" customFormat="1" x14ac:dyDescent="0.2">
      <c r="G349" s="117"/>
    </row>
    <row r="350" spans="7:7" s="116" customFormat="1" x14ac:dyDescent="0.2">
      <c r="G350" s="117"/>
    </row>
    <row r="351" spans="7:7" s="116" customFormat="1" x14ac:dyDescent="0.2">
      <c r="G351" s="117"/>
    </row>
    <row r="352" spans="7:7" s="116" customFormat="1" x14ac:dyDescent="0.2">
      <c r="G352" s="117"/>
    </row>
    <row r="353" spans="7:7" s="116" customFormat="1" x14ac:dyDescent="0.2">
      <c r="G353" s="117"/>
    </row>
    <row r="354" spans="7:7" s="116" customFormat="1" x14ac:dyDescent="0.2">
      <c r="G354" s="117"/>
    </row>
    <row r="355" spans="7:7" s="116" customFormat="1" x14ac:dyDescent="0.2">
      <c r="G355" s="117"/>
    </row>
    <row r="356" spans="7:7" s="116" customFormat="1" x14ac:dyDescent="0.2">
      <c r="G356" s="117"/>
    </row>
    <row r="357" spans="7:7" s="116" customFormat="1" x14ac:dyDescent="0.2">
      <c r="G357" s="117"/>
    </row>
    <row r="358" spans="7:7" s="116" customFormat="1" x14ac:dyDescent="0.2">
      <c r="G358" s="117"/>
    </row>
    <row r="359" spans="7:7" s="116" customFormat="1" x14ac:dyDescent="0.2">
      <c r="G359" s="117"/>
    </row>
    <row r="360" spans="7:7" s="116" customFormat="1" x14ac:dyDescent="0.2">
      <c r="G360" s="117"/>
    </row>
    <row r="361" spans="7:7" s="116" customFormat="1" x14ac:dyDescent="0.2">
      <c r="G361" s="117"/>
    </row>
    <row r="362" spans="7:7" s="116" customFormat="1" x14ac:dyDescent="0.2">
      <c r="G362" s="117"/>
    </row>
    <row r="363" spans="7:7" s="116" customFormat="1" x14ac:dyDescent="0.2">
      <c r="G363" s="117"/>
    </row>
    <row r="364" spans="7:7" s="116" customFormat="1" x14ac:dyDescent="0.2">
      <c r="G364" s="117"/>
    </row>
    <row r="365" spans="7:7" s="116" customFormat="1" x14ac:dyDescent="0.2">
      <c r="G365" s="117"/>
    </row>
    <row r="366" spans="7:7" s="116" customFormat="1" x14ac:dyDescent="0.2">
      <c r="G366" s="117"/>
    </row>
    <row r="367" spans="7:7" s="116" customFormat="1" x14ac:dyDescent="0.2">
      <c r="G367" s="117"/>
    </row>
    <row r="368" spans="7:7" s="116" customFormat="1" x14ac:dyDescent="0.2">
      <c r="G368" s="117"/>
    </row>
    <row r="369" spans="7:7" s="116" customFormat="1" x14ac:dyDescent="0.2">
      <c r="G369" s="117"/>
    </row>
    <row r="370" spans="7:7" s="116" customFormat="1" x14ac:dyDescent="0.2">
      <c r="G370" s="117"/>
    </row>
    <row r="371" spans="7:7" s="116" customFormat="1" x14ac:dyDescent="0.2">
      <c r="G371" s="117"/>
    </row>
  </sheetData>
  <mergeCells count="99">
    <mergeCell ref="C10:F10"/>
    <mergeCell ref="I3:K3"/>
    <mergeCell ref="L3:O3"/>
    <mergeCell ref="I4:K4"/>
    <mergeCell ref="L4:O4"/>
    <mergeCell ref="G7:G8"/>
    <mergeCell ref="C31:K31"/>
    <mergeCell ref="C38:D38"/>
    <mergeCell ref="C32:D32"/>
    <mergeCell ref="C27:K27"/>
    <mergeCell ref="A29:B29"/>
    <mergeCell ref="A30:B30"/>
    <mergeCell ref="A31:B31"/>
    <mergeCell ref="C28:K28"/>
    <mergeCell ref="C29:K29"/>
    <mergeCell ref="C30:K30"/>
    <mergeCell ref="A27:B27"/>
    <mergeCell ref="E36:F36"/>
    <mergeCell ref="E37:F37"/>
    <mergeCell ref="E34:F34"/>
    <mergeCell ref="E35:F35"/>
    <mergeCell ref="E32:F32"/>
    <mergeCell ref="E33:F33"/>
    <mergeCell ref="E45:F45"/>
    <mergeCell ref="E40:F40"/>
    <mergeCell ref="E41:F41"/>
    <mergeCell ref="E42:F42"/>
    <mergeCell ref="C37:D37"/>
    <mergeCell ref="E38:F38"/>
    <mergeCell ref="E39:F39"/>
    <mergeCell ref="E44:F44"/>
    <mergeCell ref="C39:D39"/>
    <mergeCell ref="E43:F43"/>
    <mergeCell ref="C46:D46"/>
    <mergeCell ref="C47:D47"/>
    <mergeCell ref="C40:D40"/>
    <mergeCell ref="C41:D41"/>
    <mergeCell ref="C42:D42"/>
    <mergeCell ref="C43:D43"/>
    <mergeCell ref="C44:D44"/>
    <mergeCell ref="C45:D45"/>
    <mergeCell ref="C33:D33"/>
    <mergeCell ref="C34:D34"/>
    <mergeCell ref="C35:D35"/>
    <mergeCell ref="A35:B35"/>
    <mergeCell ref="C36:D36"/>
    <mergeCell ref="A45:B45"/>
    <mergeCell ref="A41:B41"/>
    <mergeCell ref="A42:B42"/>
    <mergeCell ref="A43:B43"/>
    <mergeCell ref="A44:B44"/>
    <mergeCell ref="A24:B24"/>
    <mergeCell ref="C9:F9"/>
    <mergeCell ref="A28:B28"/>
    <mergeCell ref="A26:B26"/>
    <mergeCell ref="C11:F11"/>
    <mergeCell ref="C20:F20"/>
    <mergeCell ref="A10:B10"/>
    <mergeCell ref="A11:B11"/>
    <mergeCell ref="C26:K26"/>
    <mergeCell ref="C24:F24"/>
    <mergeCell ref="A20:B20"/>
    <mergeCell ref="A12:B12"/>
    <mergeCell ref="C12:F12"/>
    <mergeCell ref="A13:B13"/>
    <mergeCell ref="C13:F13"/>
    <mergeCell ref="A19:B19"/>
    <mergeCell ref="A40:B40"/>
    <mergeCell ref="A38:B38"/>
    <mergeCell ref="A39:B39"/>
    <mergeCell ref="A32:B32"/>
    <mergeCell ref="A36:B36"/>
    <mergeCell ref="A37:B37"/>
    <mergeCell ref="A34:B34"/>
    <mergeCell ref="A33:B33"/>
    <mergeCell ref="A9:B9"/>
    <mergeCell ref="I7:J7"/>
    <mergeCell ref="K7:L7"/>
    <mergeCell ref="A6:F6"/>
    <mergeCell ref="A7:B8"/>
    <mergeCell ref="C7:F8"/>
    <mergeCell ref="S7:T7"/>
    <mergeCell ref="I6:T6"/>
    <mergeCell ref="M7:N7"/>
    <mergeCell ref="O7:P7"/>
    <mergeCell ref="Q7:R7"/>
    <mergeCell ref="A15:B15"/>
    <mergeCell ref="C14:F14"/>
    <mergeCell ref="A14:B14"/>
    <mergeCell ref="C15:F15"/>
    <mergeCell ref="C23:L23"/>
    <mergeCell ref="A23:B23"/>
    <mergeCell ref="C19:F19"/>
    <mergeCell ref="A16:B16"/>
    <mergeCell ref="C16:F16"/>
    <mergeCell ref="A17:B17"/>
    <mergeCell ref="A18:B18"/>
    <mergeCell ref="C18:F18"/>
    <mergeCell ref="C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1032" r:id="rId4">
          <objectPr defaultSize="0" r:id="rId5">
            <anchor moveWithCells="1">
              <from>
                <xdr:col>0</xdr:col>
                <xdr:colOff>9525</xdr:colOff>
                <xdr:row>0</xdr:row>
                <xdr:rowOff>0</xdr:rowOff>
              </from>
              <to>
                <xdr:col>5</xdr:col>
                <xdr:colOff>285750</xdr:colOff>
                <xdr:row>1</xdr:row>
                <xdr:rowOff>28575</xdr:rowOff>
              </to>
            </anchor>
          </objectPr>
        </oleObject>
      </mc:Choice>
      <mc:Fallback>
        <oleObject progId="Word.Document.8" shapeId="1032" r:id="rId4"/>
      </mc:Fallback>
    </mc:AlternateContent>
  </oleObjects>
  <mc:AlternateContent xmlns:mc="http://schemas.openxmlformats.org/markup-compatibility/2006">
    <mc:Choice Requires="x14">
      <controls>
        <mc:AlternateContent xmlns:mc="http://schemas.openxmlformats.org/markup-compatibility/2006">
          <mc:Choice Requires="x14">
            <control shapeId="1039" r:id="rId6" name="Button 15">
              <controlPr defaultSize="0" autoFill="0" autoPict="0" macro="[0]!Sheet1.Button15_Click">
                <anchor moveWithCells="1">
                  <from>
                    <xdr:col>2</xdr:col>
                    <xdr:colOff>28575</xdr:colOff>
                    <xdr:row>20</xdr:row>
                    <xdr:rowOff>76200</xdr:rowOff>
                  </from>
                  <to>
                    <xdr:col>6</xdr:col>
                    <xdr:colOff>581025</xdr:colOff>
                    <xdr:row>21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sheetPr>
  <dimension ref="A1:AF111"/>
  <sheetViews>
    <sheetView showGridLines="0" zoomScaleNormal="100" workbookViewId="0">
      <selection activeCell="B27" sqref="B27:K27"/>
    </sheetView>
  </sheetViews>
  <sheetFormatPr defaultRowHeight="12.75" x14ac:dyDescent="0.2"/>
  <cols>
    <col min="1" max="1" width="0.85546875" style="209" customWidth="1"/>
    <col min="2" max="2" width="3.7109375" style="209" customWidth="1"/>
    <col min="3" max="3" width="40.7109375" style="217" customWidth="1"/>
    <col min="4" max="5" width="3.28515625" style="218" bestFit="1" customWidth="1"/>
    <col min="6" max="6" width="5.7109375" style="209" customWidth="1"/>
    <col min="7" max="9" width="5.7109375" style="218" customWidth="1"/>
    <col min="10" max="10" width="8.85546875" style="218" bestFit="1" customWidth="1"/>
    <col min="11" max="11" width="5.7109375" style="209" customWidth="1"/>
    <col min="12" max="12" width="40.7109375" style="209" customWidth="1"/>
    <col min="13" max="13" width="8.42578125" style="209" bestFit="1" customWidth="1"/>
    <col min="14" max="16384" width="9.140625" style="209"/>
  </cols>
  <sheetData>
    <row r="1" spans="2:12" ht="18" x14ac:dyDescent="0.25">
      <c r="C1" s="338" t="s">
        <v>88</v>
      </c>
      <c r="D1" s="209"/>
      <c r="E1" s="337"/>
      <c r="F1" s="337"/>
      <c r="G1" s="337"/>
      <c r="H1" s="337"/>
      <c r="I1" s="337"/>
      <c r="J1" s="337"/>
      <c r="K1" s="337"/>
      <c r="L1" s="208"/>
    </row>
    <row r="2" spans="2:12" ht="18" x14ac:dyDescent="0.25">
      <c r="C2" s="335"/>
      <c r="D2" s="336"/>
      <c r="E2" s="335"/>
      <c r="F2" s="335"/>
      <c r="G2" s="335"/>
      <c r="H2" s="335"/>
      <c r="I2" s="335"/>
      <c r="J2" s="335"/>
      <c r="K2" s="335"/>
      <c r="L2" s="208"/>
    </row>
    <row r="3" spans="2:12" x14ac:dyDescent="0.2">
      <c r="B3" s="210" t="s">
        <v>89</v>
      </c>
      <c r="C3" s="522" t="s">
        <v>90</v>
      </c>
      <c r="D3" s="523"/>
      <c r="E3" s="523"/>
      <c r="F3" s="523"/>
      <c r="G3" s="523"/>
      <c r="H3" s="523"/>
      <c r="I3" s="523"/>
      <c r="J3" s="523"/>
      <c r="K3" s="524"/>
      <c r="L3" s="211"/>
    </row>
    <row r="4" spans="2:12" x14ac:dyDescent="0.2">
      <c r="B4" s="212" t="s">
        <v>91</v>
      </c>
      <c r="C4" s="525" t="s">
        <v>92</v>
      </c>
      <c r="D4" s="520"/>
      <c r="E4" s="520"/>
      <c r="F4" s="520"/>
      <c r="G4" s="520"/>
      <c r="H4" s="520"/>
      <c r="I4" s="520"/>
      <c r="J4" s="520"/>
      <c r="K4" s="521"/>
      <c r="L4" s="21"/>
    </row>
    <row r="5" spans="2:12" x14ac:dyDescent="0.2">
      <c r="B5" s="213" t="s">
        <v>93</v>
      </c>
      <c r="C5" s="526" t="s">
        <v>94</v>
      </c>
      <c r="D5" s="520"/>
      <c r="E5" s="520"/>
      <c r="F5" s="520"/>
      <c r="G5" s="520"/>
      <c r="H5" s="520"/>
      <c r="I5" s="520"/>
      <c r="J5" s="520"/>
      <c r="K5" s="521"/>
      <c r="L5" s="21"/>
    </row>
    <row r="6" spans="2:12" x14ac:dyDescent="0.2">
      <c r="B6" s="214">
        <v>1</v>
      </c>
      <c r="C6" s="527" t="s">
        <v>150</v>
      </c>
      <c r="D6" s="520"/>
      <c r="E6" s="520"/>
      <c r="F6" s="520"/>
      <c r="G6" s="520"/>
      <c r="H6" s="520"/>
      <c r="I6" s="520"/>
      <c r="J6" s="520"/>
      <c r="K6" s="521"/>
      <c r="L6" s="21"/>
    </row>
    <row r="7" spans="2:12" x14ac:dyDescent="0.2">
      <c r="B7" s="214">
        <f>B6+1</f>
        <v>2</v>
      </c>
      <c r="C7" s="528" t="s">
        <v>151</v>
      </c>
      <c r="D7" s="520"/>
      <c r="E7" s="520"/>
      <c r="F7" s="520"/>
      <c r="G7" s="520"/>
      <c r="H7" s="520"/>
      <c r="I7" s="520"/>
      <c r="J7" s="520"/>
      <c r="K7" s="521"/>
      <c r="L7" s="21"/>
    </row>
    <row r="8" spans="2:12" x14ac:dyDescent="0.2">
      <c r="B8" s="214">
        <f>B7+1</f>
        <v>3</v>
      </c>
      <c r="C8" s="527" t="s">
        <v>152</v>
      </c>
      <c r="D8" s="520"/>
      <c r="E8" s="520"/>
      <c r="F8" s="520"/>
      <c r="G8" s="520"/>
      <c r="H8" s="520"/>
      <c r="I8" s="520"/>
      <c r="J8" s="520"/>
      <c r="K8" s="521"/>
      <c r="L8" s="21"/>
    </row>
    <row r="9" spans="2:12" x14ac:dyDescent="0.2">
      <c r="B9" s="331"/>
      <c r="C9" s="254" t="s">
        <v>90</v>
      </c>
      <c r="D9" s="532" t="s">
        <v>142</v>
      </c>
      <c r="E9" s="532"/>
      <c r="F9" s="532"/>
      <c r="G9" s="322"/>
      <c r="H9" s="323"/>
      <c r="I9" s="323"/>
      <c r="J9" s="323"/>
      <c r="K9" s="324"/>
    </row>
    <row r="10" spans="2:12" x14ac:dyDescent="0.2">
      <c r="B10" s="332"/>
      <c r="C10" s="303" t="s">
        <v>143</v>
      </c>
      <c r="D10" s="304"/>
      <c r="E10" s="305">
        <v>9</v>
      </c>
      <c r="F10" s="302"/>
      <c r="G10" s="325"/>
      <c r="H10" s="326"/>
      <c r="I10" s="326"/>
      <c r="J10" s="326"/>
      <c r="K10" s="327"/>
    </row>
    <row r="11" spans="2:12" x14ac:dyDescent="0.2">
      <c r="B11" s="332"/>
      <c r="C11" s="303" t="s">
        <v>144</v>
      </c>
      <c r="D11" s="304"/>
      <c r="E11" s="305">
        <v>3</v>
      </c>
      <c r="F11" s="302"/>
      <c r="G11" s="325"/>
      <c r="H11" s="326"/>
      <c r="I11" s="326"/>
      <c r="J11" s="326"/>
      <c r="K11" s="327"/>
    </row>
    <row r="12" spans="2:12" x14ac:dyDescent="0.2">
      <c r="B12" s="333"/>
      <c r="C12" s="303" t="s">
        <v>145</v>
      </c>
      <c r="D12" s="304"/>
      <c r="E12" s="305">
        <v>1</v>
      </c>
      <c r="F12" s="302"/>
      <c r="G12" s="328"/>
      <c r="H12" s="329"/>
      <c r="I12" s="329"/>
      <c r="J12" s="329"/>
      <c r="K12" s="330"/>
    </row>
    <row r="13" spans="2:12" ht="65.099999999999994" customHeight="1" x14ac:dyDescent="0.2">
      <c r="B13" s="214">
        <f>B8+1</f>
        <v>4</v>
      </c>
      <c r="C13" s="519" t="s">
        <v>153</v>
      </c>
      <c r="D13" s="530"/>
      <c r="E13" s="530"/>
      <c r="F13" s="530"/>
      <c r="G13" s="530"/>
      <c r="H13" s="530"/>
      <c r="I13" s="530"/>
      <c r="J13" s="530"/>
      <c r="K13" s="531"/>
    </row>
    <row r="14" spans="2:12" x14ac:dyDescent="0.2">
      <c r="B14" s="214">
        <f>B13+1</f>
        <v>5</v>
      </c>
      <c r="C14" s="528" t="s">
        <v>154</v>
      </c>
      <c r="D14" s="530"/>
      <c r="E14" s="530"/>
      <c r="F14" s="530"/>
      <c r="G14" s="530"/>
      <c r="H14" s="530"/>
      <c r="I14" s="530"/>
      <c r="J14" s="530"/>
      <c r="K14" s="531"/>
      <c r="L14" s="21"/>
    </row>
    <row r="15" spans="2:12" x14ac:dyDescent="0.2">
      <c r="B15" s="331"/>
      <c r="C15" s="254" t="s">
        <v>90</v>
      </c>
      <c r="D15" s="532" t="s">
        <v>142</v>
      </c>
      <c r="E15" s="532"/>
      <c r="F15" s="532"/>
      <c r="G15" s="322"/>
      <c r="H15" s="323"/>
      <c r="I15" s="323"/>
      <c r="J15" s="323"/>
      <c r="K15" s="324"/>
      <c r="L15" s="21"/>
    </row>
    <row r="16" spans="2:12" x14ac:dyDescent="0.2">
      <c r="B16" s="332"/>
      <c r="C16" s="303" t="s">
        <v>147</v>
      </c>
      <c r="D16" s="304"/>
      <c r="E16" s="305" t="s">
        <v>132</v>
      </c>
      <c r="F16" s="302"/>
      <c r="G16" s="325"/>
      <c r="H16" s="326"/>
      <c r="I16" s="326"/>
      <c r="J16" s="326"/>
      <c r="K16" s="327"/>
      <c r="L16" s="21"/>
    </row>
    <row r="17" spans="2:32" x14ac:dyDescent="0.2">
      <c r="B17" s="332"/>
      <c r="C17" s="303" t="s">
        <v>148</v>
      </c>
      <c r="D17" s="304"/>
      <c r="E17" s="305" t="s">
        <v>113</v>
      </c>
      <c r="F17" s="302"/>
      <c r="G17" s="325"/>
      <c r="H17" s="326"/>
      <c r="I17" s="326"/>
      <c r="J17" s="326"/>
      <c r="K17" s="327"/>
      <c r="L17" s="21"/>
    </row>
    <row r="18" spans="2:32" x14ac:dyDescent="0.2">
      <c r="B18" s="333"/>
      <c r="C18" s="303" t="s">
        <v>149</v>
      </c>
      <c r="D18" s="304"/>
      <c r="E18" s="305" t="s">
        <v>133</v>
      </c>
      <c r="F18" s="302"/>
      <c r="G18" s="328"/>
      <c r="H18" s="329"/>
      <c r="I18" s="329"/>
      <c r="J18" s="329"/>
      <c r="K18" s="330"/>
      <c r="L18" s="21"/>
    </row>
    <row r="19" spans="2:32" ht="65.099999999999994" customHeight="1" x14ac:dyDescent="0.2">
      <c r="B19" s="214">
        <f>B14+1</f>
        <v>6</v>
      </c>
      <c r="C19" s="519" t="s">
        <v>158</v>
      </c>
      <c r="D19" s="520"/>
      <c r="E19" s="520"/>
      <c r="F19" s="520"/>
      <c r="G19" s="520"/>
      <c r="H19" s="520"/>
      <c r="I19" s="520"/>
      <c r="J19" s="520"/>
      <c r="K19" s="521"/>
      <c r="L19" s="21"/>
    </row>
    <row r="20" spans="2:32" ht="105" customHeight="1" x14ac:dyDescent="0.2">
      <c r="B20" s="214">
        <f>B19+1</f>
        <v>7</v>
      </c>
      <c r="C20" s="519" t="s">
        <v>157</v>
      </c>
      <c r="D20" s="520"/>
      <c r="E20" s="520"/>
      <c r="F20" s="520"/>
      <c r="G20" s="520"/>
      <c r="H20" s="520"/>
      <c r="I20" s="520"/>
      <c r="J20" s="520"/>
      <c r="K20" s="521"/>
      <c r="L20" s="21"/>
    </row>
    <row r="21" spans="2:32" ht="57" customHeight="1" x14ac:dyDescent="0.2">
      <c r="B21" s="215" t="s">
        <v>95</v>
      </c>
      <c r="C21" s="529" t="s">
        <v>155</v>
      </c>
      <c r="D21" s="520"/>
      <c r="E21" s="520"/>
      <c r="F21" s="520"/>
      <c r="G21" s="520"/>
      <c r="H21" s="520"/>
      <c r="I21" s="520"/>
      <c r="J21" s="520"/>
      <c r="K21" s="521"/>
      <c r="L21" s="21"/>
    </row>
    <row r="22" spans="2:32" ht="36.75" customHeight="1" x14ac:dyDescent="0.2">
      <c r="B22" s="216" t="s">
        <v>96</v>
      </c>
      <c r="C22" s="538" t="s">
        <v>156</v>
      </c>
      <c r="D22" s="520"/>
      <c r="E22" s="520"/>
      <c r="F22" s="520"/>
      <c r="G22" s="520"/>
      <c r="H22" s="520"/>
      <c r="I22" s="520"/>
      <c r="J22" s="520"/>
      <c r="K22" s="521"/>
      <c r="L22" s="21"/>
    </row>
    <row r="23" spans="2:32" x14ac:dyDescent="0.2">
      <c r="K23" s="219"/>
    </row>
    <row r="25" spans="2:32" ht="5.0999999999999996" customHeight="1" thickBot="1" x14ac:dyDescent="0.25"/>
    <row r="26" spans="2:32" ht="15.75" x14ac:dyDescent="0.25">
      <c r="B26" s="539" t="s">
        <v>97</v>
      </c>
      <c r="C26" s="540"/>
      <c r="D26" s="540"/>
      <c r="E26" s="540"/>
      <c r="F26" s="540"/>
      <c r="G26" s="540"/>
      <c r="H26" s="540"/>
      <c r="I26" s="540"/>
      <c r="J26" s="540"/>
      <c r="K26" s="541"/>
    </row>
    <row r="27" spans="2:32" ht="13.5" thickBot="1" x14ac:dyDescent="0.25">
      <c r="B27" s="542" t="s">
        <v>98</v>
      </c>
      <c r="C27" s="543"/>
      <c r="D27" s="543"/>
      <c r="E27" s="543"/>
      <c r="F27" s="543"/>
      <c r="G27" s="543"/>
      <c r="H27" s="543"/>
      <c r="I27" s="543"/>
      <c r="J27" s="543"/>
      <c r="K27" s="544"/>
      <c r="AC27" s="220"/>
      <c r="AD27" s="220"/>
      <c r="AE27" s="220"/>
      <c r="AF27" s="220"/>
    </row>
    <row r="28" spans="2:32" ht="5.0999999999999996" customHeight="1" x14ac:dyDescent="0.2">
      <c r="AC28" s="221"/>
      <c r="AD28" s="221"/>
      <c r="AE28" s="221"/>
      <c r="AF28" s="221"/>
    </row>
    <row r="29" spans="2:32" ht="15.75" x14ac:dyDescent="0.25">
      <c r="B29" s="533" t="s">
        <v>99</v>
      </c>
      <c r="C29" s="533"/>
      <c r="D29" s="534"/>
      <c r="E29" s="535" t="s">
        <v>100</v>
      </c>
      <c r="F29" s="536"/>
      <c r="G29" s="536"/>
      <c r="H29" s="536"/>
      <c r="I29" s="536"/>
      <c r="J29" s="536"/>
      <c r="K29" s="537"/>
      <c r="L29" s="219"/>
    </row>
    <row r="30" spans="2:32" ht="95.1" customHeight="1" x14ac:dyDescent="0.2">
      <c r="B30" s="222" t="s">
        <v>101</v>
      </c>
      <c r="C30" s="223" t="s">
        <v>102</v>
      </c>
      <c r="D30" s="224" t="s">
        <v>103</v>
      </c>
      <c r="E30" s="225" t="s">
        <v>104</v>
      </c>
      <c r="F30" s="226" t="s">
        <v>105</v>
      </c>
      <c r="G30" s="226" t="s">
        <v>106</v>
      </c>
      <c r="H30" s="226" t="s">
        <v>107</v>
      </c>
      <c r="I30" s="226" t="s">
        <v>108</v>
      </c>
      <c r="J30" s="226" t="s">
        <v>109</v>
      </c>
      <c r="K30" s="226" t="s">
        <v>110</v>
      </c>
      <c r="L30" s="222" t="s">
        <v>111</v>
      </c>
      <c r="Z30" s="227"/>
      <c r="AA30" s="228"/>
    </row>
    <row r="31" spans="2:32" x14ac:dyDescent="0.2">
      <c r="B31" s="229"/>
      <c r="C31" s="230" t="s">
        <v>112</v>
      </c>
      <c r="D31" s="231"/>
      <c r="E31" s="231" t="s">
        <v>113</v>
      </c>
      <c r="F31" s="231"/>
      <c r="G31" s="231"/>
      <c r="H31" s="231"/>
      <c r="I31" s="231"/>
      <c r="J31" s="231"/>
      <c r="K31" s="231"/>
      <c r="L31" s="232"/>
      <c r="M31" s="233"/>
      <c r="N31" s="234"/>
    </row>
    <row r="32" spans="2:32" x14ac:dyDescent="0.2">
      <c r="B32" s="229"/>
      <c r="C32" s="230" t="s">
        <v>114</v>
      </c>
      <c r="D32" s="231"/>
      <c r="E32" s="231" t="s">
        <v>113</v>
      </c>
      <c r="F32" s="231"/>
      <c r="G32" s="231"/>
      <c r="H32" s="231"/>
      <c r="I32" s="231"/>
      <c r="J32" s="231"/>
      <c r="K32" s="231"/>
      <c r="L32" s="232"/>
      <c r="M32" s="233"/>
      <c r="N32" s="234"/>
    </row>
    <row r="33" spans="2:27" x14ac:dyDescent="0.2">
      <c r="B33" s="229"/>
      <c r="C33" s="230" t="s">
        <v>115</v>
      </c>
      <c r="D33" s="231"/>
      <c r="E33" s="231" t="s">
        <v>113</v>
      </c>
      <c r="F33" s="231"/>
      <c r="G33" s="231"/>
      <c r="H33" s="231"/>
      <c r="I33" s="231"/>
      <c r="J33" s="231"/>
      <c r="K33" s="231"/>
      <c r="L33" s="232"/>
      <c r="M33" s="233"/>
      <c r="N33" s="234"/>
    </row>
    <row r="34" spans="2:27" x14ac:dyDescent="0.2">
      <c r="B34" s="229"/>
      <c r="C34" s="230" t="s">
        <v>116</v>
      </c>
      <c r="D34" s="231"/>
      <c r="E34" s="231" t="s">
        <v>113</v>
      </c>
      <c r="F34" s="231"/>
      <c r="G34" s="231"/>
      <c r="H34" s="231"/>
      <c r="I34" s="231"/>
      <c r="J34" s="231"/>
      <c r="K34" s="231"/>
      <c r="L34" s="232"/>
      <c r="M34" s="233"/>
      <c r="N34" s="234"/>
      <c r="AA34" s="227"/>
    </row>
    <row r="35" spans="2:27" x14ac:dyDescent="0.2">
      <c r="B35" s="229"/>
      <c r="C35" s="230" t="s">
        <v>117</v>
      </c>
      <c r="D35" s="231"/>
      <c r="E35" s="231" t="s">
        <v>113</v>
      </c>
      <c r="F35" s="231"/>
      <c r="G35" s="231"/>
      <c r="H35" s="231"/>
      <c r="I35" s="231"/>
      <c r="J35" s="231"/>
      <c r="K35" s="231"/>
      <c r="L35" s="232"/>
      <c r="M35" s="233"/>
      <c r="N35" s="234"/>
    </row>
    <row r="36" spans="2:27" x14ac:dyDescent="0.2">
      <c r="B36" s="229"/>
      <c r="C36" s="230" t="s">
        <v>118</v>
      </c>
      <c r="D36" s="231"/>
      <c r="E36" s="231" t="s">
        <v>113</v>
      </c>
      <c r="F36" s="231"/>
      <c r="G36" s="231"/>
      <c r="H36" s="231"/>
      <c r="I36" s="231"/>
      <c r="J36" s="231"/>
      <c r="K36" s="231"/>
      <c r="L36" s="232"/>
      <c r="M36" s="233"/>
      <c r="N36" s="234"/>
    </row>
    <row r="37" spans="2:27" x14ac:dyDescent="0.2">
      <c r="B37" s="229"/>
      <c r="C37" s="230" t="s">
        <v>119</v>
      </c>
      <c r="D37" s="231"/>
      <c r="E37" s="231" t="s">
        <v>113</v>
      </c>
      <c r="F37" s="231"/>
      <c r="G37" s="231"/>
      <c r="H37" s="231"/>
      <c r="I37" s="231"/>
      <c r="J37" s="231"/>
      <c r="K37" s="231"/>
      <c r="L37" s="232"/>
      <c r="M37" s="233"/>
      <c r="N37" s="234"/>
    </row>
    <row r="38" spans="2:27" x14ac:dyDescent="0.2">
      <c r="B38" s="229"/>
      <c r="C38" s="230" t="s">
        <v>120</v>
      </c>
      <c r="D38" s="231"/>
      <c r="E38" s="231" t="s">
        <v>113</v>
      </c>
      <c r="F38" s="231"/>
      <c r="G38" s="231"/>
      <c r="H38" s="231"/>
      <c r="I38" s="231"/>
      <c r="J38" s="231"/>
      <c r="K38" s="231"/>
      <c r="L38" s="232"/>
      <c r="M38" s="233"/>
      <c r="N38" s="234"/>
    </row>
    <row r="39" spans="2:27" x14ac:dyDescent="0.2">
      <c r="B39" s="229"/>
      <c r="C39" s="230" t="s">
        <v>121</v>
      </c>
      <c r="D39" s="231"/>
      <c r="E39" s="231" t="s">
        <v>113</v>
      </c>
      <c r="F39" s="231"/>
      <c r="G39" s="231"/>
      <c r="H39" s="231"/>
      <c r="I39" s="231"/>
      <c r="J39" s="231"/>
      <c r="K39" s="231"/>
      <c r="L39" s="232"/>
      <c r="M39" s="233"/>
      <c r="N39" s="234"/>
    </row>
    <row r="40" spans="2:27" x14ac:dyDescent="0.2">
      <c r="B40" s="229"/>
      <c r="C40" s="230" t="s">
        <v>122</v>
      </c>
      <c r="D40" s="231"/>
      <c r="E40" s="231" t="s">
        <v>113</v>
      </c>
      <c r="F40" s="231"/>
      <c r="G40" s="231"/>
      <c r="H40" s="231"/>
      <c r="I40" s="231"/>
      <c r="J40" s="231"/>
      <c r="K40" s="231"/>
      <c r="L40" s="232"/>
      <c r="M40" s="233"/>
      <c r="N40" s="234"/>
    </row>
    <row r="41" spans="2:27" x14ac:dyDescent="0.2">
      <c r="B41" s="229"/>
      <c r="C41" s="230" t="s">
        <v>123</v>
      </c>
      <c r="D41" s="231"/>
      <c r="E41" s="231" t="s">
        <v>113</v>
      </c>
      <c r="F41" s="231"/>
      <c r="G41" s="231"/>
      <c r="H41" s="231"/>
      <c r="I41" s="231"/>
      <c r="J41" s="231"/>
      <c r="K41" s="231"/>
      <c r="L41" s="232"/>
      <c r="M41" s="233"/>
      <c r="N41" s="233"/>
    </row>
    <row r="42" spans="2:27" x14ac:dyDescent="0.2">
      <c r="B42" s="235"/>
      <c r="C42" s="236" t="s">
        <v>124</v>
      </c>
      <c r="D42" s="237" t="s">
        <v>125</v>
      </c>
      <c r="E42" s="238"/>
      <c r="F42" s="239"/>
      <c r="G42" s="238"/>
      <c r="H42" s="238"/>
      <c r="I42" s="238"/>
      <c r="J42" s="238"/>
      <c r="K42" s="239"/>
      <c r="L42" s="240"/>
    </row>
    <row r="43" spans="2:27" s="244" customFormat="1" x14ac:dyDescent="0.2">
      <c r="B43" s="241" t="s">
        <v>91</v>
      </c>
      <c r="C43" s="242" t="s">
        <v>126</v>
      </c>
      <c r="D43" s="243"/>
      <c r="E43" s="241">
        <f t="shared" ref="E43:K43" si="0">(SUMIF(E31:E41,"+",$D31:$D41))</f>
        <v>0</v>
      </c>
      <c r="F43" s="241">
        <f t="shared" si="0"/>
        <v>0</v>
      </c>
      <c r="G43" s="241">
        <f t="shared" si="0"/>
        <v>0</v>
      </c>
      <c r="H43" s="241">
        <f t="shared" si="0"/>
        <v>0</v>
      </c>
      <c r="I43" s="241">
        <f t="shared" si="0"/>
        <v>0</v>
      </c>
      <c r="J43" s="241">
        <f t="shared" si="0"/>
        <v>0</v>
      </c>
      <c r="K43" s="241">
        <f t="shared" si="0"/>
        <v>0</v>
      </c>
    </row>
    <row r="44" spans="2:27" s="244" customFormat="1" x14ac:dyDescent="0.2">
      <c r="B44" s="245" t="s">
        <v>93</v>
      </c>
      <c r="C44" s="246" t="s">
        <v>127</v>
      </c>
      <c r="D44" s="247"/>
      <c r="E44" s="245">
        <f t="shared" ref="E44:K44" si="1">(SUMIF(E31:E41,"S",$D31:$D41))</f>
        <v>0</v>
      </c>
      <c r="F44" s="245">
        <f t="shared" si="1"/>
        <v>0</v>
      </c>
      <c r="G44" s="245">
        <f t="shared" si="1"/>
        <v>0</v>
      </c>
      <c r="H44" s="245">
        <f t="shared" si="1"/>
        <v>0</v>
      </c>
      <c r="I44" s="245">
        <f t="shared" si="1"/>
        <v>0</v>
      </c>
      <c r="J44" s="245">
        <f t="shared" si="1"/>
        <v>0</v>
      </c>
      <c r="K44" s="245">
        <f t="shared" si="1"/>
        <v>0</v>
      </c>
    </row>
    <row r="45" spans="2:27" s="244" customFormat="1" x14ac:dyDescent="0.2">
      <c r="B45" s="248" t="s">
        <v>95</v>
      </c>
      <c r="C45" s="249" t="s">
        <v>128</v>
      </c>
      <c r="D45" s="250"/>
      <c r="E45" s="248">
        <f>(SUMIF(E31:E41,"-",$D31:$D41))</f>
        <v>0</v>
      </c>
      <c r="F45" s="248">
        <f t="shared" ref="F45:K45" si="2">(SUMIF(F31:F41,"-",$D31:$D41))</f>
        <v>0</v>
      </c>
      <c r="G45" s="248">
        <f t="shared" si="2"/>
        <v>0</v>
      </c>
      <c r="H45" s="248">
        <f t="shared" si="2"/>
        <v>0</v>
      </c>
      <c r="I45" s="248">
        <f t="shared" si="2"/>
        <v>0</v>
      </c>
      <c r="J45" s="248">
        <f t="shared" si="2"/>
        <v>0</v>
      </c>
      <c r="K45" s="248">
        <f t="shared" si="2"/>
        <v>0</v>
      </c>
    </row>
    <row r="46" spans="2:27" ht="20.100000000000001" customHeight="1" x14ac:dyDescent="0.2">
      <c r="B46" s="251" t="s">
        <v>96</v>
      </c>
      <c r="C46" s="252" t="s">
        <v>129</v>
      </c>
      <c r="D46" s="253"/>
      <c r="E46" s="251">
        <f t="shared" ref="E46:K46" si="3">E43-E45</f>
        <v>0</v>
      </c>
      <c r="F46" s="251">
        <f t="shared" si="3"/>
        <v>0</v>
      </c>
      <c r="G46" s="251">
        <f t="shared" si="3"/>
        <v>0</v>
      </c>
      <c r="H46" s="251">
        <f t="shared" si="3"/>
        <v>0</v>
      </c>
      <c r="I46" s="251">
        <f t="shared" si="3"/>
        <v>0</v>
      </c>
      <c r="J46" s="251">
        <f t="shared" si="3"/>
        <v>0</v>
      </c>
      <c r="K46" s="251">
        <f t="shared" si="3"/>
        <v>0</v>
      </c>
    </row>
    <row r="49" spans="1:27" ht="15.75" x14ac:dyDescent="0.25">
      <c r="B49" s="533" t="s">
        <v>130</v>
      </c>
      <c r="C49" s="533"/>
      <c r="D49" s="534"/>
      <c r="E49" s="535" t="s">
        <v>100</v>
      </c>
      <c r="F49" s="536"/>
      <c r="G49" s="536"/>
      <c r="H49" s="536"/>
      <c r="I49" s="536"/>
      <c r="J49" s="536"/>
      <c r="K49" s="537"/>
      <c r="L49" s="219"/>
    </row>
    <row r="50" spans="1:27" ht="91.5" x14ac:dyDescent="0.2">
      <c r="B50" s="222" t="s">
        <v>101</v>
      </c>
      <c r="C50" s="223" t="s">
        <v>102</v>
      </c>
      <c r="D50" s="224" t="s">
        <v>103</v>
      </c>
      <c r="E50" s="225" t="s">
        <v>104</v>
      </c>
      <c r="F50" s="226" t="s">
        <v>105</v>
      </c>
      <c r="G50" s="226" t="s">
        <v>106</v>
      </c>
      <c r="H50" s="226" t="s">
        <v>107</v>
      </c>
      <c r="I50" s="226" t="s">
        <v>108</v>
      </c>
      <c r="J50" s="226" t="s">
        <v>109</v>
      </c>
      <c r="K50" s="226" t="s">
        <v>110</v>
      </c>
      <c r="L50" s="222" t="s">
        <v>111</v>
      </c>
      <c r="Z50" s="227"/>
      <c r="AA50" s="228"/>
    </row>
    <row r="51" spans="1:27" x14ac:dyDescent="0.2">
      <c r="B51" s="229"/>
      <c r="C51" s="230" t="s">
        <v>112</v>
      </c>
      <c r="D51" s="231">
        <v>9</v>
      </c>
      <c r="E51" s="231" t="s">
        <v>113</v>
      </c>
      <c r="F51" s="231"/>
      <c r="G51" s="231"/>
      <c r="H51" s="231"/>
      <c r="I51" s="231"/>
      <c r="J51" s="231"/>
      <c r="K51" s="231"/>
      <c r="L51" s="232"/>
      <c r="M51" s="233"/>
      <c r="N51" s="234"/>
    </row>
    <row r="52" spans="1:27" x14ac:dyDescent="0.2">
      <c r="B52" s="229"/>
      <c r="C52" s="230" t="s">
        <v>114</v>
      </c>
      <c r="D52" s="231">
        <v>1</v>
      </c>
      <c r="E52" s="231" t="s">
        <v>113</v>
      </c>
      <c r="F52" s="231"/>
      <c r="G52" s="231"/>
      <c r="H52" s="231"/>
      <c r="I52" s="231"/>
      <c r="J52" s="231"/>
      <c r="K52" s="231"/>
      <c r="L52" s="232"/>
      <c r="M52" s="233"/>
      <c r="N52" s="234"/>
    </row>
    <row r="53" spans="1:27" x14ac:dyDescent="0.2">
      <c r="B53" s="229"/>
      <c r="C53" s="230" t="s">
        <v>115</v>
      </c>
      <c r="D53" s="231">
        <v>3</v>
      </c>
      <c r="E53" s="231" t="s">
        <v>113</v>
      </c>
      <c r="F53" s="231"/>
      <c r="G53" s="231"/>
      <c r="H53" s="231"/>
      <c r="I53" s="231"/>
      <c r="J53" s="231"/>
      <c r="K53" s="231"/>
      <c r="L53" s="232"/>
      <c r="M53" s="233"/>
      <c r="N53" s="234"/>
    </row>
    <row r="54" spans="1:27" x14ac:dyDescent="0.2">
      <c r="B54" s="229"/>
      <c r="C54" s="230" t="s">
        <v>116</v>
      </c>
      <c r="D54" s="231">
        <v>1</v>
      </c>
      <c r="E54" s="231" t="s">
        <v>113</v>
      </c>
      <c r="F54" s="231"/>
      <c r="G54" s="231"/>
      <c r="H54" s="231"/>
      <c r="I54" s="231"/>
      <c r="J54" s="231"/>
      <c r="K54" s="231"/>
      <c r="L54" s="232"/>
      <c r="M54" s="233"/>
      <c r="N54" s="234"/>
      <c r="AA54" s="227"/>
    </row>
    <row r="55" spans="1:27" x14ac:dyDescent="0.2">
      <c r="B55" s="229"/>
      <c r="C55" s="230" t="s">
        <v>117</v>
      </c>
      <c r="D55" s="231">
        <v>9</v>
      </c>
      <c r="E55" s="231" t="s">
        <v>113</v>
      </c>
      <c r="F55" s="231"/>
      <c r="G55" s="231"/>
      <c r="H55" s="231"/>
      <c r="I55" s="231"/>
      <c r="J55" s="231"/>
      <c r="K55" s="231"/>
      <c r="L55" s="232"/>
      <c r="M55" s="233"/>
      <c r="N55" s="234"/>
    </row>
    <row r="56" spans="1:27" x14ac:dyDescent="0.2">
      <c r="B56" s="229"/>
      <c r="C56" s="230" t="s">
        <v>118</v>
      </c>
      <c r="D56" s="231">
        <v>3</v>
      </c>
      <c r="E56" s="231" t="s">
        <v>113</v>
      </c>
      <c r="F56" s="231"/>
      <c r="G56" s="231"/>
      <c r="H56" s="231"/>
      <c r="I56" s="231"/>
      <c r="J56" s="231"/>
      <c r="K56" s="231"/>
      <c r="L56" s="232"/>
      <c r="M56" s="233"/>
      <c r="N56" s="234"/>
    </row>
    <row r="57" spans="1:27" x14ac:dyDescent="0.2">
      <c r="B57" s="229"/>
      <c r="C57" s="230" t="s">
        <v>119</v>
      </c>
      <c r="D57" s="231">
        <v>9</v>
      </c>
      <c r="E57" s="231" t="s">
        <v>113</v>
      </c>
      <c r="F57" s="231"/>
      <c r="G57" s="231"/>
      <c r="H57" s="231"/>
      <c r="I57" s="231"/>
      <c r="J57" s="231"/>
      <c r="K57" s="231"/>
      <c r="L57" s="232"/>
      <c r="M57" s="233"/>
      <c r="N57" s="234"/>
    </row>
    <row r="58" spans="1:27" x14ac:dyDescent="0.2">
      <c r="B58" s="229"/>
      <c r="C58" s="230" t="s">
        <v>120</v>
      </c>
      <c r="D58" s="231">
        <v>3</v>
      </c>
      <c r="E58" s="231" t="s">
        <v>113</v>
      </c>
      <c r="F58" s="231"/>
      <c r="G58" s="231"/>
      <c r="H58" s="231"/>
      <c r="I58" s="231"/>
      <c r="J58" s="231"/>
      <c r="K58" s="231"/>
      <c r="L58" s="232"/>
      <c r="M58" s="233"/>
      <c r="N58" s="234"/>
    </row>
    <row r="59" spans="1:27" x14ac:dyDescent="0.2">
      <c r="B59" s="229"/>
      <c r="C59" s="230" t="s">
        <v>121</v>
      </c>
      <c r="D59" s="231">
        <v>1</v>
      </c>
      <c r="E59" s="231" t="s">
        <v>113</v>
      </c>
      <c r="F59" s="231"/>
      <c r="G59" s="231"/>
      <c r="H59" s="231"/>
      <c r="I59" s="231"/>
      <c r="J59" s="231"/>
      <c r="K59" s="231"/>
      <c r="L59" s="232"/>
      <c r="M59" s="233"/>
      <c r="N59" s="234"/>
    </row>
    <row r="60" spans="1:27" x14ac:dyDescent="0.2">
      <c r="B60" s="229"/>
      <c r="C60" s="230" t="s">
        <v>122</v>
      </c>
      <c r="D60" s="231">
        <v>3</v>
      </c>
      <c r="E60" s="231" t="s">
        <v>113</v>
      </c>
      <c r="F60" s="231"/>
      <c r="G60" s="231"/>
      <c r="H60" s="231"/>
      <c r="I60" s="231"/>
      <c r="J60" s="231"/>
      <c r="K60" s="231"/>
      <c r="L60" s="232"/>
      <c r="M60" s="233"/>
      <c r="N60" s="234"/>
    </row>
    <row r="61" spans="1:27" x14ac:dyDescent="0.2">
      <c r="B61" s="229"/>
      <c r="C61" s="230" t="s">
        <v>123</v>
      </c>
      <c r="D61" s="231"/>
      <c r="E61" s="231" t="s">
        <v>113</v>
      </c>
      <c r="F61" s="231"/>
      <c r="G61" s="231"/>
      <c r="H61" s="231"/>
      <c r="I61" s="231"/>
      <c r="J61" s="231"/>
      <c r="K61" s="231"/>
      <c r="L61" s="232"/>
      <c r="M61" s="233"/>
      <c r="N61" s="233"/>
    </row>
    <row r="62" spans="1:27" x14ac:dyDescent="0.2">
      <c r="B62" s="235"/>
      <c r="C62" s="236" t="s">
        <v>124</v>
      </c>
      <c r="D62" s="237" t="s">
        <v>125</v>
      </c>
      <c r="E62" s="238"/>
      <c r="F62" s="239"/>
      <c r="G62" s="238"/>
      <c r="H62" s="238"/>
      <c r="I62" s="238"/>
      <c r="J62" s="238"/>
      <c r="K62" s="239"/>
      <c r="L62" s="240"/>
    </row>
    <row r="63" spans="1:27" x14ac:dyDescent="0.2">
      <c r="A63" s="244"/>
      <c r="B63" s="241" t="s">
        <v>91</v>
      </c>
      <c r="C63" s="242" t="s">
        <v>126</v>
      </c>
      <c r="D63" s="243"/>
      <c r="E63" s="241">
        <f t="shared" ref="E63:K63" si="4">(SUMIF(E51:E61,"+",$D51:$D61))</f>
        <v>0</v>
      </c>
      <c r="F63" s="241">
        <f t="shared" si="4"/>
        <v>0</v>
      </c>
      <c r="G63" s="241">
        <f t="shared" si="4"/>
        <v>0</v>
      </c>
      <c r="H63" s="241">
        <f t="shared" si="4"/>
        <v>0</v>
      </c>
      <c r="I63" s="241">
        <f t="shared" si="4"/>
        <v>0</v>
      </c>
      <c r="J63" s="241">
        <f t="shared" si="4"/>
        <v>0</v>
      </c>
      <c r="K63" s="241">
        <f t="shared" si="4"/>
        <v>0</v>
      </c>
      <c r="L63" s="244"/>
      <c r="M63" s="244"/>
      <c r="N63" s="244"/>
      <c r="O63" s="244"/>
      <c r="P63" s="244"/>
      <c r="Q63" s="244"/>
      <c r="R63" s="244"/>
      <c r="S63" s="244"/>
      <c r="T63" s="244"/>
      <c r="U63" s="244"/>
      <c r="V63" s="244"/>
      <c r="W63" s="244"/>
      <c r="X63" s="244"/>
      <c r="Y63" s="244"/>
      <c r="Z63" s="244"/>
      <c r="AA63" s="244"/>
    </row>
    <row r="64" spans="1:27" x14ac:dyDescent="0.2">
      <c r="A64" s="244"/>
      <c r="B64" s="245" t="s">
        <v>93</v>
      </c>
      <c r="C64" s="246" t="s">
        <v>127</v>
      </c>
      <c r="D64" s="247"/>
      <c r="E64" s="245">
        <f t="shared" ref="E64:K64" si="5">(SUMIF(E51:E61,"S",$D51:$D61))</f>
        <v>42</v>
      </c>
      <c r="F64" s="245">
        <f t="shared" si="5"/>
        <v>0</v>
      </c>
      <c r="G64" s="245">
        <f t="shared" si="5"/>
        <v>0</v>
      </c>
      <c r="H64" s="245">
        <f t="shared" si="5"/>
        <v>0</v>
      </c>
      <c r="I64" s="245">
        <f t="shared" si="5"/>
        <v>0</v>
      </c>
      <c r="J64" s="245">
        <f t="shared" si="5"/>
        <v>0</v>
      </c>
      <c r="K64" s="245">
        <f t="shared" si="5"/>
        <v>0</v>
      </c>
      <c r="L64" s="244"/>
      <c r="M64" s="244"/>
      <c r="N64" s="244"/>
      <c r="O64" s="244"/>
      <c r="P64" s="244"/>
      <c r="Q64" s="244"/>
      <c r="R64" s="244"/>
      <c r="S64" s="244"/>
      <c r="T64" s="244"/>
      <c r="U64" s="244"/>
      <c r="V64" s="244"/>
      <c r="W64" s="244"/>
      <c r="X64" s="244"/>
      <c r="Y64" s="244"/>
      <c r="Z64" s="244"/>
      <c r="AA64" s="244"/>
    </row>
    <row r="65" spans="1:27" x14ac:dyDescent="0.2">
      <c r="A65" s="244"/>
      <c r="B65" s="248" t="s">
        <v>95</v>
      </c>
      <c r="C65" s="249" t="s">
        <v>128</v>
      </c>
      <c r="D65" s="250"/>
      <c r="E65" s="248">
        <f>(SUMIF(E51:E61,"-",$D51:$D61))</f>
        <v>0</v>
      </c>
      <c r="F65" s="248">
        <f t="shared" ref="F65:K65" si="6">(SUMIF(F51:F61,"-",$D51:$D61))</f>
        <v>0</v>
      </c>
      <c r="G65" s="248">
        <f t="shared" si="6"/>
        <v>0</v>
      </c>
      <c r="H65" s="248">
        <f t="shared" si="6"/>
        <v>0</v>
      </c>
      <c r="I65" s="248">
        <f t="shared" si="6"/>
        <v>0</v>
      </c>
      <c r="J65" s="248">
        <f t="shared" si="6"/>
        <v>0</v>
      </c>
      <c r="K65" s="248">
        <f t="shared" si="6"/>
        <v>0</v>
      </c>
      <c r="L65" s="244"/>
      <c r="M65" s="244"/>
      <c r="N65" s="244"/>
      <c r="O65" s="244"/>
      <c r="P65" s="244"/>
      <c r="Q65" s="244"/>
      <c r="R65" s="244"/>
      <c r="S65" s="244"/>
      <c r="T65" s="244"/>
      <c r="U65" s="244"/>
      <c r="V65" s="244"/>
      <c r="W65" s="244"/>
      <c r="X65" s="244"/>
      <c r="Y65" s="244"/>
      <c r="Z65" s="244"/>
      <c r="AA65" s="244"/>
    </row>
    <row r="66" spans="1:27" ht="15.75" x14ac:dyDescent="0.2">
      <c r="B66" s="251" t="s">
        <v>96</v>
      </c>
      <c r="C66" s="252" t="s">
        <v>129</v>
      </c>
      <c r="D66" s="253"/>
      <c r="E66" s="251">
        <f t="shared" ref="E66:K66" si="7">E63-E65</f>
        <v>0</v>
      </c>
      <c r="F66" s="251">
        <f t="shared" si="7"/>
        <v>0</v>
      </c>
      <c r="G66" s="251">
        <f t="shared" si="7"/>
        <v>0</v>
      </c>
      <c r="H66" s="251">
        <f t="shared" si="7"/>
        <v>0</v>
      </c>
      <c r="I66" s="251">
        <f t="shared" si="7"/>
        <v>0</v>
      </c>
      <c r="J66" s="251">
        <f t="shared" si="7"/>
        <v>0</v>
      </c>
      <c r="K66" s="251">
        <f t="shared" si="7"/>
        <v>0</v>
      </c>
    </row>
    <row r="69" spans="1:27" ht="15.75" x14ac:dyDescent="0.25">
      <c r="B69" s="533" t="s">
        <v>131</v>
      </c>
      <c r="C69" s="533"/>
      <c r="D69" s="534"/>
      <c r="E69" s="535" t="s">
        <v>100</v>
      </c>
      <c r="F69" s="536"/>
      <c r="G69" s="536"/>
      <c r="H69" s="536"/>
      <c r="I69" s="536"/>
      <c r="J69" s="536"/>
      <c r="K69" s="537"/>
      <c r="L69" s="219"/>
    </row>
    <row r="70" spans="1:27" ht="91.5" x14ac:dyDescent="0.2">
      <c r="B70" s="222" t="s">
        <v>101</v>
      </c>
      <c r="C70" s="223" t="s">
        <v>102</v>
      </c>
      <c r="D70" s="224" t="s">
        <v>103</v>
      </c>
      <c r="E70" s="225" t="s">
        <v>104</v>
      </c>
      <c r="F70" s="226" t="s">
        <v>105</v>
      </c>
      <c r="G70" s="226" t="s">
        <v>106</v>
      </c>
      <c r="H70" s="226" t="s">
        <v>107</v>
      </c>
      <c r="I70" s="226" t="s">
        <v>108</v>
      </c>
      <c r="J70" s="226" t="s">
        <v>109</v>
      </c>
      <c r="K70" s="226" t="s">
        <v>110</v>
      </c>
      <c r="L70" s="222" t="s">
        <v>111</v>
      </c>
      <c r="Z70" s="227"/>
      <c r="AA70" s="228"/>
    </row>
    <row r="71" spans="1:27" x14ac:dyDescent="0.2">
      <c r="B71" s="229"/>
      <c r="C71" s="230" t="s">
        <v>112</v>
      </c>
      <c r="D71" s="231">
        <v>9</v>
      </c>
      <c r="E71" s="231" t="s">
        <v>113</v>
      </c>
      <c r="F71" s="231" t="s">
        <v>132</v>
      </c>
      <c r="G71" s="231" t="s">
        <v>113</v>
      </c>
      <c r="H71" s="231" t="s">
        <v>113</v>
      </c>
      <c r="I71" s="231" t="s">
        <v>132</v>
      </c>
      <c r="J71" s="231" t="s">
        <v>133</v>
      </c>
      <c r="K71" s="231"/>
      <c r="L71" s="232"/>
      <c r="M71" s="233"/>
      <c r="N71" s="234"/>
    </row>
    <row r="72" spans="1:27" x14ac:dyDescent="0.2">
      <c r="B72" s="229"/>
      <c r="C72" s="230" t="s">
        <v>114</v>
      </c>
      <c r="D72" s="231">
        <v>1</v>
      </c>
      <c r="E72" s="231" t="s">
        <v>113</v>
      </c>
      <c r="F72" s="231" t="s">
        <v>133</v>
      </c>
      <c r="G72" s="231" t="s">
        <v>132</v>
      </c>
      <c r="H72" s="231" t="s">
        <v>113</v>
      </c>
      <c r="I72" s="231" t="s">
        <v>133</v>
      </c>
      <c r="J72" s="231" t="s">
        <v>132</v>
      </c>
      <c r="K72" s="231"/>
      <c r="L72" s="232"/>
      <c r="M72" s="233"/>
      <c r="N72" s="234"/>
    </row>
    <row r="73" spans="1:27" x14ac:dyDescent="0.2">
      <c r="B73" s="229"/>
      <c r="C73" s="230" t="s">
        <v>115</v>
      </c>
      <c r="D73" s="231">
        <v>3</v>
      </c>
      <c r="E73" s="231" t="s">
        <v>113</v>
      </c>
      <c r="F73" s="231" t="s">
        <v>113</v>
      </c>
      <c r="G73" s="231" t="s">
        <v>132</v>
      </c>
      <c r="H73" s="231" t="s">
        <v>113</v>
      </c>
      <c r="I73" s="231" t="s">
        <v>133</v>
      </c>
      <c r="J73" s="231" t="s">
        <v>113</v>
      </c>
      <c r="K73" s="231"/>
      <c r="L73" s="232"/>
      <c r="M73" s="233"/>
      <c r="N73" s="234"/>
    </row>
    <row r="74" spans="1:27" x14ac:dyDescent="0.2">
      <c r="B74" s="229"/>
      <c r="C74" s="230" t="s">
        <v>116</v>
      </c>
      <c r="D74" s="231">
        <v>1</v>
      </c>
      <c r="E74" s="231" t="s">
        <v>113</v>
      </c>
      <c r="F74" s="231" t="s">
        <v>132</v>
      </c>
      <c r="G74" s="231" t="s">
        <v>132</v>
      </c>
      <c r="H74" s="231" t="s">
        <v>113</v>
      </c>
      <c r="I74" s="231" t="s">
        <v>132</v>
      </c>
      <c r="J74" s="231" t="s">
        <v>132</v>
      </c>
      <c r="K74" s="231"/>
      <c r="L74" s="232"/>
      <c r="M74" s="233"/>
      <c r="N74" s="234"/>
      <c r="AA74" s="227"/>
    </row>
    <row r="75" spans="1:27" x14ac:dyDescent="0.2">
      <c r="B75" s="229"/>
      <c r="C75" s="230" t="s">
        <v>117</v>
      </c>
      <c r="D75" s="231">
        <v>9</v>
      </c>
      <c r="E75" s="231" t="s">
        <v>113</v>
      </c>
      <c r="F75" s="231" t="s">
        <v>133</v>
      </c>
      <c r="G75" s="231" t="s">
        <v>113</v>
      </c>
      <c r="H75" s="231" t="s">
        <v>113</v>
      </c>
      <c r="I75" s="231" t="s">
        <v>132</v>
      </c>
      <c r="J75" s="231" t="s">
        <v>133</v>
      </c>
      <c r="K75" s="231"/>
      <c r="L75" s="232"/>
      <c r="M75" s="233"/>
      <c r="N75" s="234"/>
    </row>
    <row r="76" spans="1:27" x14ac:dyDescent="0.2">
      <c r="B76" s="229"/>
      <c r="C76" s="230" t="s">
        <v>118</v>
      </c>
      <c r="D76" s="231">
        <v>3</v>
      </c>
      <c r="E76" s="231" t="s">
        <v>113</v>
      </c>
      <c r="F76" s="231" t="s">
        <v>133</v>
      </c>
      <c r="G76" s="231" t="s">
        <v>132</v>
      </c>
      <c r="H76" s="231" t="s">
        <v>113</v>
      </c>
      <c r="I76" s="231" t="s">
        <v>132</v>
      </c>
      <c r="J76" s="231" t="s">
        <v>113</v>
      </c>
      <c r="K76" s="231"/>
      <c r="L76" s="232"/>
      <c r="M76" s="233"/>
      <c r="N76" s="234"/>
    </row>
    <row r="77" spans="1:27" x14ac:dyDescent="0.2">
      <c r="B77" s="229"/>
      <c r="C77" s="230" t="s">
        <v>119</v>
      </c>
      <c r="D77" s="231">
        <v>9</v>
      </c>
      <c r="E77" s="231" t="s">
        <v>113</v>
      </c>
      <c r="F77" s="231" t="s">
        <v>113</v>
      </c>
      <c r="G77" s="231" t="s">
        <v>113</v>
      </c>
      <c r="H77" s="231" t="s">
        <v>113</v>
      </c>
      <c r="I77" s="231" t="s">
        <v>132</v>
      </c>
      <c r="J77" s="231" t="s">
        <v>133</v>
      </c>
      <c r="K77" s="231"/>
      <c r="L77" s="232"/>
      <c r="M77" s="233"/>
      <c r="N77" s="234"/>
    </row>
    <row r="78" spans="1:27" x14ac:dyDescent="0.2">
      <c r="B78" s="229"/>
      <c r="C78" s="230" t="s">
        <v>120</v>
      </c>
      <c r="D78" s="231">
        <v>3</v>
      </c>
      <c r="E78" s="231" t="s">
        <v>113</v>
      </c>
      <c r="F78" s="231" t="s">
        <v>132</v>
      </c>
      <c r="G78" s="231" t="s">
        <v>132</v>
      </c>
      <c r="H78" s="231" t="s">
        <v>113</v>
      </c>
      <c r="I78" s="231" t="s">
        <v>132</v>
      </c>
      <c r="J78" s="231" t="s">
        <v>113</v>
      </c>
      <c r="K78" s="231"/>
      <c r="L78" s="232"/>
      <c r="M78" s="233"/>
      <c r="N78" s="234"/>
    </row>
    <row r="79" spans="1:27" x14ac:dyDescent="0.2">
      <c r="B79" s="229"/>
      <c r="C79" s="230" t="s">
        <v>121</v>
      </c>
      <c r="D79" s="231">
        <v>1</v>
      </c>
      <c r="E79" s="231" t="s">
        <v>113</v>
      </c>
      <c r="F79" s="231" t="s">
        <v>133</v>
      </c>
      <c r="G79" s="231" t="s">
        <v>132</v>
      </c>
      <c r="H79" s="231" t="s">
        <v>113</v>
      </c>
      <c r="I79" s="231" t="s">
        <v>133</v>
      </c>
      <c r="J79" s="231" t="s">
        <v>132</v>
      </c>
      <c r="K79" s="231"/>
      <c r="L79" s="232"/>
      <c r="M79" s="233"/>
      <c r="N79" s="234"/>
    </row>
    <row r="80" spans="1:27" x14ac:dyDescent="0.2">
      <c r="B80" s="229"/>
      <c r="C80" s="230" t="s">
        <v>122</v>
      </c>
      <c r="D80" s="231">
        <v>3</v>
      </c>
      <c r="E80" s="231" t="s">
        <v>113</v>
      </c>
      <c r="F80" s="231" t="s">
        <v>132</v>
      </c>
      <c r="G80" s="231" t="s">
        <v>132</v>
      </c>
      <c r="H80" s="231" t="s">
        <v>113</v>
      </c>
      <c r="I80" s="231" t="s">
        <v>132</v>
      </c>
      <c r="J80" s="231" t="s">
        <v>113</v>
      </c>
      <c r="K80" s="231"/>
      <c r="L80" s="232"/>
      <c r="M80" s="233"/>
      <c r="N80" s="234"/>
    </row>
    <row r="81" spans="1:27" x14ac:dyDescent="0.2">
      <c r="B81" s="229"/>
      <c r="C81" s="230" t="s">
        <v>123</v>
      </c>
      <c r="D81" s="231"/>
      <c r="E81" s="231" t="s">
        <v>113</v>
      </c>
      <c r="F81" s="231"/>
      <c r="G81" s="231"/>
      <c r="H81" s="231"/>
      <c r="I81" s="231"/>
      <c r="J81" s="231"/>
      <c r="K81" s="231"/>
      <c r="L81" s="232"/>
      <c r="M81" s="233"/>
      <c r="N81" s="233"/>
    </row>
    <row r="82" spans="1:27" x14ac:dyDescent="0.2">
      <c r="B82" s="235"/>
      <c r="C82" s="236" t="s">
        <v>124</v>
      </c>
      <c r="D82" s="237" t="s">
        <v>125</v>
      </c>
      <c r="E82" s="238"/>
      <c r="F82" s="239"/>
      <c r="G82" s="238"/>
      <c r="H82" s="238"/>
      <c r="I82" s="238"/>
      <c r="J82" s="238"/>
      <c r="K82" s="239"/>
      <c r="L82" s="240"/>
    </row>
    <row r="83" spans="1:27" x14ac:dyDescent="0.2">
      <c r="A83" s="244"/>
      <c r="B83" s="241" t="s">
        <v>91</v>
      </c>
      <c r="C83" s="242" t="s">
        <v>126</v>
      </c>
      <c r="D83" s="243"/>
      <c r="E83" s="241">
        <f>(SUMIF(E71:E81,"+",$D71:$D81))</f>
        <v>0</v>
      </c>
      <c r="F83" s="241">
        <f t="shared" ref="F83:K83" si="8">(SUMIF(F71:F81,"+",$D71:$D81))</f>
        <v>16</v>
      </c>
      <c r="G83" s="241">
        <f t="shared" si="8"/>
        <v>15</v>
      </c>
      <c r="H83" s="241">
        <f t="shared" si="8"/>
        <v>0</v>
      </c>
      <c r="I83" s="241">
        <f t="shared" si="8"/>
        <v>37</v>
      </c>
      <c r="J83" s="241">
        <f t="shared" si="8"/>
        <v>3</v>
      </c>
      <c r="K83" s="241">
        <f t="shared" si="8"/>
        <v>0</v>
      </c>
      <c r="L83" s="244"/>
      <c r="M83" s="244"/>
      <c r="N83" s="244"/>
      <c r="O83" s="244"/>
      <c r="P83" s="244"/>
      <c r="Q83" s="244"/>
      <c r="R83" s="244"/>
      <c r="S83" s="244"/>
      <c r="T83" s="244"/>
      <c r="U83" s="244"/>
      <c r="V83" s="244"/>
      <c r="W83" s="244"/>
      <c r="X83" s="244"/>
      <c r="Y83" s="244"/>
      <c r="Z83" s="244"/>
      <c r="AA83" s="244"/>
    </row>
    <row r="84" spans="1:27" x14ac:dyDescent="0.2">
      <c r="A84" s="244"/>
      <c r="B84" s="245" t="s">
        <v>93</v>
      </c>
      <c r="C84" s="246" t="s">
        <v>127</v>
      </c>
      <c r="D84" s="247"/>
      <c r="E84" s="245">
        <f t="shared" ref="E84:K84" si="9">(SUMIF(E71:E81,"S",$D71:$D81))</f>
        <v>42</v>
      </c>
      <c r="F84" s="245">
        <f t="shared" si="9"/>
        <v>12</v>
      </c>
      <c r="G84" s="245">
        <f t="shared" si="9"/>
        <v>27</v>
      </c>
      <c r="H84" s="245">
        <f t="shared" si="9"/>
        <v>42</v>
      </c>
      <c r="I84" s="245">
        <f t="shared" si="9"/>
        <v>0</v>
      </c>
      <c r="J84" s="245">
        <f t="shared" si="9"/>
        <v>12</v>
      </c>
      <c r="K84" s="245">
        <f t="shared" si="9"/>
        <v>0</v>
      </c>
      <c r="L84" s="244"/>
      <c r="M84" s="244"/>
      <c r="N84" s="244"/>
      <c r="O84" s="244"/>
      <c r="P84" s="244"/>
      <c r="Q84" s="244"/>
      <c r="R84" s="244"/>
      <c r="S84" s="244"/>
      <c r="T84" s="244"/>
      <c r="U84" s="244"/>
      <c r="V84" s="244"/>
      <c r="W84" s="244"/>
      <c r="X84" s="244"/>
      <c r="Y84" s="244"/>
      <c r="Z84" s="244"/>
      <c r="AA84" s="244"/>
    </row>
    <row r="85" spans="1:27" x14ac:dyDescent="0.2">
      <c r="A85" s="244"/>
      <c r="B85" s="248" t="s">
        <v>95</v>
      </c>
      <c r="C85" s="249" t="s">
        <v>128</v>
      </c>
      <c r="D85" s="250"/>
      <c r="E85" s="248">
        <f>(SUMIF(E71:E81,"-",$D71:$D81))</f>
        <v>0</v>
      </c>
      <c r="F85" s="248">
        <f t="shared" ref="F85:K85" si="10">(SUMIF(F71:F81,"-",$D71:$D81))</f>
        <v>14</v>
      </c>
      <c r="G85" s="248">
        <f t="shared" si="10"/>
        <v>0</v>
      </c>
      <c r="H85" s="248">
        <f t="shared" si="10"/>
        <v>0</v>
      </c>
      <c r="I85" s="248">
        <f t="shared" si="10"/>
        <v>5</v>
      </c>
      <c r="J85" s="248">
        <f t="shared" si="10"/>
        <v>27</v>
      </c>
      <c r="K85" s="248">
        <f t="shared" si="10"/>
        <v>0</v>
      </c>
      <c r="L85" s="244"/>
      <c r="M85" s="244"/>
      <c r="N85" s="244"/>
      <c r="O85" s="244"/>
      <c r="P85" s="244"/>
      <c r="Q85" s="244"/>
      <c r="R85" s="244"/>
      <c r="S85" s="244"/>
      <c r="T85" s="244"/>
      <c r="U85" s="244"/>
      <c r="V85" s="244"/>
      <c r="W85" s="244"/>
      <c r="X85" s="244"/>
      <c r="Y85" s="244"/>
      <c r="Z85" s="244"/>
      <c r="AA85" s="244"/>
    </row>
    <row r="86" spans="1:27" ht="15.75" x14ac:dyDescent="0.2">
      <c r="B86" s="251" t="s">
        <v>96</v>
      </c>
      <c r="C86" s="252" t="s">
        <v>129</v>
      </c>
      <c r="D86" s="253"/>
      <c r="E86" s="251">
        <f t="shared" ref="E86:K86" si="11">E83-E85</f>
        <v>0</v>
      </c>
      <c r="F86" s="251">
        <f t="shared" si="11"/>
        <v>2</v>
      </c>
      <c r="G86" s="251">
        <f t="shared" si="11"/>
        <v>15</v>
      </c>
      <c r="H86" s="251">
        <f t="shared" si="11"/>
        <v>0</v>
      </c>
      <c r="I86" s="251">
        <f t="shared" si="11"/>
        <v>32</v>
      </c>
      <c r="J86" s="251">
        <f t="shared" si="11"/>
        <v>-24</v>
      </c>
      <c r="K86" s="251">
        <f t="shared" si="11"/>
        <v>0</v>
      </c>
    </row>
    <row r="90" spans="1:27" x14ac:dyDescent="0.2">
      <c r="C90" s="209"/>
      <c r="D90" s="217"/>
      <c r="F90" s="218"/>
      <c r="G90" s="209"/>
      <c r="J90" s="209"/>
    </row>
    <row r="91" spans="1:27" x14ac:dyDescent="0.2">
      <c r="C91" s="209"/>
      <c r="D91" s="217"/>
      <c r="F91" s="218"/>
      <c r="G91" s="209"/>
      <c r="J91" s="209"/>
    </row>
    <row r="92" spans="1:27" x14ac:dyDescent="0.2">
      <c r="C92" s="209"/>
      <c r="D92" s="217"/>
      <c r="F92" s="218"/>
      <c r="G92" s="209"/>
      <c r="J92" s="209"/>
    </row>
    <row r="93" spans="1:27" x14ac:dyDescent="0.2">
      <c r="C93" s="209"/>
      <c r="D93" s="217"/>
      <c r="F93" s="218"/>
      <c r="G93" s="209"/>
      <c r="J93" s="209"/>
    </row>
    <row r="94" spans="1:27" x14ac:dyDescent="0.2">
      <c r="C94" s="209"/>
      <c r="D94" s="217"/>
      <c r="F94" s="218"/>
      <c r="G94" s="209"/>
      <c r="J94" s="209"/>
    </row>
    <row r="95" spans="1:27" x14ac:dyDescent="0.2">
      <c r="C95" s="209"/>
      <c r="D95" s="217"/>
      <c r="F95" s="218"/>
      <c r="G95" s="209"/>
      <c r="J95" s="209"/>
    </row>
    <row r="96" spans="1:27" x14ac:dyDescent="0.2">
      <c r="C96" s="209"/>
      <c r="D96" s="217"/>
      <c r="F96" s="218"/>
      <c r="G96" s="209"/>
      <c r="J96" s="209"/>
    </row>
    <row r="97" spans="3:10" x14ac:dyDescent="0.2">
      <c r="C97" s="209"/>
      <c r="D97" s="217"/>
      <c r="F97" s="218"/>
      <c r="G97" s="209"/>
      <c r="J97" s="209"/>
    </row>
    <row r="98" spans="3:10" x14ac:dyDescent="0.2">
      <c r="C98" s="209"/>
      <c r="D98" s="217"/>
      <c r="F98" s="218"/>
      <c r="G98" s="209"/>
      <c r="J98" s="209"/>
    </row>
    <row r="99" spans="3:10" x14ac:dyDescent="0.2">
      <c r="C99" s="209"/>
      <c r="D99" s="217"/>
      <c r="F99" s="218"/>
      <c r="G99" s="209"/>
      <c r="J99" s="209"/>
    </row>
    <row r="100" spans="3:10" x14ac:dyDescent="0.2">
      <c r="C100" s="209"/>
      <c r="D100" s="217"/>
      <c r="F100" s="218"/>
      <c r="G100" s="209"/>
      <c r="J100" s="209"/>
    </row>
    <row r="101" spans="3:10" x14ac:dyDescent="0.2">
      <c r="C101" s="209"/>
      <c r="D101" s="217"/>
      <c r="F101" s="218"/>
      <c r="G101" s="209"/>
      <c r="J101" s="209"/>
    </row>
    <row r="102" spans="3:10" x14ac:dyDescent="0.2">
      <c r="C102" s="209"/>
      <c r="D102" s="217"/>
      <c r="F102" s="218"/>
      <c r="G102" s="209"/>
      <c r="J102" s="209"/>
    </row>
    <row r="103" spans="3:10" x14ac:dyDescent="0.2">
      <c r="C103" s="209"/>
      <c r="D103" s="217"/>
      <c r="F103" s="218"/>
      <c r="G103" s="209"/>
      <c r="J103" s="209"/>
    </row>
    <row r="104" spans="3:10" x14ac:dyDescent="0.2">
      <c r="C104" s="209"/>
      <c r="D104" s="217"/>
      <c r="F104" s="218"/>
      <c r="G104" s="209"/>
      <c r="J104" s="209"/>
    </row>
    <row r="105" spans="3:10" x14ac:dyDescent="0.2">
      <c r="C105" s="209"/>
      <c r="D105" s="217"/>
      <c r="F105" s="218"/>
      <c r="G105" s="209"/>
      <c r="J105" s="209"/>
    </row>
    <row r="106" spans="3:10" x14ac:dyDescent="0.2">
      <c r="C106" s="209"/>
      <c r="D106" s="217"/>
      <c r="F106" s="218"/>
      <c r="G106" s="209"/>
      <c r="J106" s="209"/>
    </row>
    <row r="107" spans="3:10" x14ac:dyDescent="0.2">
      <c r="C107" s="209"/>
      <c r="D107" s="217"/>
      <c r="F107" s="218"/>
      <c r="G107" s="209"/>
      <c r="J107" s="209"/>
    </row>
    <row r="108" spans="3:10" x14ac:dyDescent="0.2">
      <c r="C108" s="209"/>
      <c r="D108" s="217"/>
      <c r="F108" s="218"/>
      <c r="G108" s="209"/>
      <c r="J108" s="209"/>
    </row>
    <row r="109" spans="3:10" x14ac:dyDescent="0.2">
      <c r="C109" s="209"/>
      <c r="D109" s="217"/>
      <c r="F109" s="218"/>
      <c r="G109" s="209"/>
      <c r="J109" s="209"/>
    </row>
    <row r="110" spans="3:10" x14ac:dyDescent="0.2">
      <c r="C110" s="209"/>
      <c r="D110" s="217"/>
      <c r="F110" s="218"/>
      <c r="G110" s="209"/>
      <c r="J110" s="209"/>
    </row>
    <row r="111" spans="3:10" x14ac:dyDescent="0.2">
      <c r="C111" s="209"/>
      <c r="D111" s="217"/>
      <c r="F111" s="218"/>
      <c r="G111" s="209"/>
      <c r="J111" s="209"/>
    </row>
  </sheetData>
  <mergeCells count="22">
    <mergeCell ref="C21:K21"/>
    <mergeCell ref="C8:K8"/>
    <mergeCell ref="C13:K13"/>
    <mergeCell ref="D9:F9"/>
    <mergeCell ref="B69:D69"/>
    <mergeCell ref="E69:K69"/>
    <mergeCell ref="C22:K22"/>
    <mergeCell ref="B26:K26"/>
    <mergeCell ref="B27:K27"/>
    <mergeCell ref="B29:D29"/>
    <mergeCell ref="E29:K29"/>
    <mergeCell ref="D15:F15"/>
    <mergeCell ref="B49:D49"/>
    <mergeCell ref="E49:K49"/>
    <mergeCell ref="C14:K14"/>
    <mergeCell ref="C19:K19"/>
    <mergeCell ref="C20:K20"/>
    <mergeCell ref="C3:K3"/>
    <mergeCell ref="C4:K4"/>
    <mergeCell ref="C5:K5"/>
    <mergeCell ref="C6:K6"/>
    <mergeCell ref="C7:K7"/>
  </mergeCells>
  <phoneticPr fontId="13" type="noConversion"/>
  <conditionalFormatting sqref="B31:B41 B51:B61 B71:B81">
    <cfRule type="expression" dxfId="44" priority="1" stopIfTrue="1">
      <formula>OR((LEFT($C31,12)="Template Row"),(LEFT(B$30,15)="Template Column"))</formula>
    </cfRule>
    <cfRule type="expression" dxfId="43" priority="2" stopIfTrue="1">
      <formula>MOD(ROW(B31),2)=0</formula>
    </cfRule>
    <cfRule type="expression" dxfId="42" priority="3" stopIfTrue="1">
      <formula>MOD(ROW(B31),2)&lt;&gt;0</formula>
    </cfRule>
  </conditionalFormatting>
  <conditionalFormatting sqref="C31:C41 C51:C61 C71:C81">
    <cfRule type="expression" dxfId="41" priority="4" stopIfTrue="1">
      <formula>OR((LEFT($C31,12)="Template Row"),(LEFT(C$30,15)="Template Column"))</formula>
    </cfRule>
    <cfRule type="expression" dxfId="40" priority="5" stopIfTrue="1">
      <formula>MOD(ROW(B31),2)=0</formula>
    </cfRule>
    <cfRule type="expression" dxfId="39" priority="6" stopIfTrue="1">
      <formula>MOD(ROW(B31),2)&lt;&gt;0</formula>
    </cfRule>
  </conditionalFormatting>
  <conditionalFormatting sqref="D31:D41 D51:D61 D71:D81">
    <cfRule type="expression" dxfId="38" priority="7" stopIfTrue="1">
      <formula>OR((LEFT($C31,12)="Template Row"),(LEFT(D$30,15)="Template Column"))</formula>
    </cfRule>
    <cfRule type="expression" dxfId="37" priority="8" stopIfTrue="1">
      <formula>MOD(ROW(B31),2)=0</formula>
    </cfRule>
    <cfRule type="expression" dxfId="36" priority="9" stopIfTrue="1">
      <formula>MOD(ROW(B31),2)&lt;&gt;0</formula>
    </cfRule>
  </conditionalFormatting>
  <conditionalFormatting sqref="E31:E41 E51:E61 E71:E81">
    <cfRule type="expression" dxfId="35" priority="10" stopIfTrue="1">
      <formula>OR((LEFT($C31,12)="Template Row"),(LEFT(E$30,15)="Template Column"))</formula>
    </cfRule>
    <cfRule type="expression" dxfId="34" priority="11" stopIfTrue="1">
      <formula>MOD(ROW(B31),2)=0</formula>
    </cfRule>
    <cfRule type="expression" dxfId="33" priority="12" stopIfTrue="1">
      <formula>MOD(ROW(B31),2)&lt;&gt;0</formula>
    </cfRule>
  </conditionalFormatting>
  <conditionalFormatting sqref="F31:K41 F51:K61 F71:K81">
    <cfRule type="expression" dxfId="32" priority="13" stopIfTrue="1">
      <formula>OR((LEFT($C31,12)="Template Row"),(LEFT(F$30,15)="Template Column"))</formula>
    </cfRule>
    <cfRule type="expression" dxfId="31" priority="14" stopIfTrue="1">
      <formula>MOD(ROW(B31),2)=0</formula>
    </cfRule>
    <cfRule type="expression" dxfId="30" priority="15" stopIfTrue="1">
      <formula>MOD(ROW(B31),2)&lt;&gt;0</formula>
    </cfRule>
  </conditionalFormatting>
  <dataValidations count="2">
    <dataValidation type="list" allowBlank="1" showInputMessage="1" showErrorMessage="1" sqref="E31:K41 E51:K61 E71:K81">
      <formula1>IF(OR((LEFT($C31,12)="Template Row"),(LEFT(E$30,15)="Template Column"),($C31=""),(E$30="")),Null,Ranking_Alternatives)</formula1>
    </dataValidation>
    <dataValidation type="list" allowBlank="1" showInputMessage="1" showErrorMessage="1" sqref="D31:D41 D51:D61 D71:D81">
      <formula1>IF(OR((LEFT($C31,12)="Template Row"),(LEFT(E$30,15)="Template Column"),($C31="")),Null,Ranking_Criteria)</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23" max="16383" man="1"/>
    <brk id="67" max="16383" man="1"/>
  </rowBreaks>
  <drawing r:id="rId2"/>
  <legacyDrawing r:id="rId3"/>
  <oleObjects>
    <mc:AlternateContent xmlns:mc="http://schemas.openxmlformats.org/markup-compatibility/2006">
      <mc:Choice Requires="x14">
        <oleObject progId="Word.Document.8" shapeId="824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8247"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B1:AD35"/>
  <sheetViews>
    <sheetView showGridLines="0" zoomScaleNormal="100" workbookViewId="0">
      <selection activeCell="C27" sqref="C27"/>
    </sheetView>
  </sheetViews>
  <sheetFormatPr defaultRowHeight="12.75" x14ac:dyDescent="0.2"/>
  <cols>
    <col min="1" max="1" width="0.85546875" style="345" customWidth="1"/>
    <col min="2" max="2" width="3.7109375" style="345" customWidth="1"/>
    <col min="3" max="3" width="40.7109375" style="347" customWidth="1"/>
    <col min="4" max="5" width="3.28515625" style="344" bestFit="1" customWidth="1"/>
    <col min="6" max="6" width="5.7109375" style="345" customWidth="1"/>
    <col min="7" max="8" width="5.7109375" style="344" customWidth="1"/>
    <col min="9" max="9" width="5.7109375" style="345" customWidth="1"/>
    <col min="10" max="10" width="40.7109375" style="345" customWidth="1"/>
    <col min="11" max="11" width="0.85546875" style="345" customWidth="1"/>
    <col min="12" max="16384" width="9.140625" style="345"/>
  </cols>
  <sheetData>
    <row r="1" spans="2:4" ht="18" x14ac:dyDescent="0.2">
      <c r="B1" s="341"/>
      <c r="C1" s="342"/>
      <c r="D1" s="343" t="s">
        <v>167</v>
      </c>
    </row>
    <row r="3" spans="2:4" x14ac:dyDescent="0.2">
      <c r="B3" s="346" t="s">
        <v>134</v>
      </c>
    </row>
    <row r="19" spans="2:30" ht="5.0999999999999996" customHeight="1" thickBot="1" x14ac:dyDescent="0.25"/>
    <row r="20" spans="2:30" ht="15.75" x14ac:dyDescent="0.25">
      <c r="B20" s="545" t="s">
        <v>97</v>
      </c>
      <c r="C20" s="546"/>
      <c r="D20" s="546"/>
      <c r="E20" s="546"/>
      <c r="F20" s="546"/>
      <c r="G20" s="546"/>
      <c r="H20" s="546"/>
      <c r="I20" s="547"/>
    </row>
    <row r="21" spans="2:30" ht="13.5" thickBot="1" x14ac:dyDescent="0.25">
      <c r="B21" s="548" t="s">
        <v>135</v>
      </c>
      <c r="C21" s="549"/>
      <c r="D21" s="549"/>
      <c r="E21" s="549"/>
      <c r="F21" s="549"/>
      <c r="G21" s="549"/>
      <c r="H21" s="549"/>
      <c r="I21" s="550"/>
    </row>
    <row r="22" spans="2:30" ht="5.0999999999999996" customHeight="1" x14ac:dyDescent="0.2">
      <c r="AA22" s="348"/>
      <c r="AB22" s="348"/>
      <c r="AC22" s="348"/>
      <c r="AD22" s="348"/>
    </row>
    <row r="23" spans="2:30" s="350" customFormat="1" x14ac:dyDescent="0.2">
      <c r="B23" s="551"/>
      <c r="C23" s="551"/>
      <c r="D23" s="552"/>
      <c r="E23" s="553" t="s">
        <v>100</v>
      </c>
      <c r="F23" s="554"/>
      <c r="G23" s="554"/>
      <c r="H23" s="554"/>
      <c r="I23" s="555"/>
      <c r="J23" s="349"/>
    </row>
    <row r="24" spans="2:30" ht="95.1" customHeight="1" x14ac:dyDescent="0.2">
      <c r="B24" s="351" t="s">
        <v>101</v>
      </c>
      <c r="C24" s="352" t="s">
        <v>102</v>
      </c>
      <c r="D24" s="353" t="s">
        <v>103</v>
      </c>
      <c r="E24" s="354" t="s">
        <v>104</v>
      </c>
      <c r="F24" s="355" t="s">
        <v>5</v>
      </c>
      <c r="G24" s="355" t="s">
        <v>6</v>
      </c>
      <c r="H24" s="355" t="s">
        <v>7</v>
      </c>
      <c r="I24" s="355" t="s">
        <v>110</v>
      </c>
      <c r="J24" s="351" t="s">
        <v>111</v>
      </c>
      <c r="X24" s="356"/>
      <c r="Y24" s="357"/>
    </row>
    <row r="25" spans="2:30" x14ac:dyDescent="0.2">
      <c r="B25" s="358">
        <v>1</v>
      </c>
      <c r="C25" s="359" t="s">
        <v>136</v>
      </c>
      <c r="D25" s="360">
        <v>1</v>
      </c>
      <c r="E25" s="360" t="s">
        <v>113</v>
      </c>
      <c r="F25" s="360" t="s">
        <v>132</v>
      </c>
      <c r="G25" s="360" t="s">
        <v>133</v>
      </c>
      <c r="H25" s="360" t="s">
        <v>113</v>
      </c>
      <c r="I25" s="360"/>
      <c r="J25" s="361"/>
      <c r="K25" s="362"/>
      <c r="L25" s="363"/>
    </row>
    <row r="26" spans="2:30" x14ac:dyDescent="0.2">
      <c r="B26" s="358">
        <v>2</v>
      </c>
      <c r="C26" s="359" t="s">
        <v>137</v>
      </c>
      <c r="D26" s="360">
        <v>1</v>
      </c>
      <c r="E26" s="360" t="s">
        <v>113</v>
      </c>
      <c r="F26" s="360" t="s">
        <v>133</v>
      </c>
      <c r="G26" s="360" t="s">
        <v>132</v>
      </c>
      <c r="H26" s="360" t="s">
        <v>113</v>
      </c>
      <c r="I26" s="360"/>
      <c r="J26" s="361"/>
      <c r="K26" s="362"/>
      <c r="L26" s="363"/>
    </row>
    <row r="27" spans="2:30" x14ac:dyDescent="0.2">
      <c r="B27" s="358">
        <v>3</v>
      </c>
      <c r="C27" s="359" t="s">
        <v>138</v>
      </c>
      <c r="D27" s="360">
        <v>3</v>
      </c>
      <c r="E27" s="360" t="s">
        <v>113</v>
      </c>
      <c r="F27" s="360" t="s">
        <v>133</v>
      </c>
      <c r="G27" s="360" t="s">
        <v>132</v>
      </c>
      <c r="H27" s="360" t="s">
        <v>113</v>
      </c>
      <c r="I27" s="360"/>
      <c r="J27" s="361"/>
      <c r="K27" s="362"/>
      <c r="L27" s="363"/>
    </row>
    <row r="28" spans="2:30" x14ac:dyDescent="0.2">
      <c r="B28" s="358">
        <v>4</v>
      </c>
      <c r="C28" s="359" t="s">
        <v>139</v>
      </c>
      <c r="D28" s="360">
        <v>9</v>
      </c>
      <c r="E28" s="360" t="s">
        <v>113</v>
      </c>
      <c r="F28" s="360" t="s">
        <v>133</v>
      </c>
      <c r="G28" s="360" t="s">
        <v>132</v>
      </c>
      <c r="H28" s="360" t="s">
        <v>113</v>
      </c>
      <c r="I28" s="360"/>
      <c r="J28" s="361"/>
      <c r="K28" s="362"/>
      <c r="L28" s="363"/>
      <c r="Y28" s="356"/>
    </row>
    <row r="29" spans="2:30" x14ac:dyDescent="0.2">
      <c r="B29" s="358">
        <v>5</v>
      </c>
      <c r="C29" s="359" t="s">
        <v>140</v>
      </c>
      <c r="D29" s="360">
        <v>9</v>
      </c>
      <c r="E29" s="360" t="s">
        <v>113</v>
      </c>
      <c r="F29" s="360" t="s">
        <v>133</v>
      </c>
      <c r="G29" s="360" t="s">
        <v>132</v>
      </c>
      <c r="H29" s="360" t="s">
        <v>113</v>
      </c>
      <c r="I29" s="360"/>
      <c r="J29" s="361"/>
      <c r="K29" s="362"/>
      <c r="L29" s="363"/>
    </row>
    <row r="30" spans="2:30" x14ac:dyDescent="0.2">
      <c r="B30" s="358"/>
      <c r="C30" s="359" t="s">
        <v>123</v>
      </c>
      <c r="D30" s="360"/>
      <c r="E30" s="360" t="s">
        <v>113</v>
      </c>
      <c r="F30" s="360"/>
      <c r="G30" s="360"/>
      <c r="H30" s="360"/>
      <c r="I30" s="360"/>
      <c r="J30" s="361"/>
      <c r="K30" s="362"/>
      <c r="L30" s="362"/>
    </row>
    <row r="31" spans="2:30" s="365" customFormat="1" x14ac:dyDescent="0.2">
      <c r="B31" s="235"/>
      <c r="C31" s="236" t="s">
        <v>124</v>
      </c>
      <c r="D31" s="237" t="s">
        <v>125</v>
      </c>
      <c r="E31" s="238"/>
      <c r="F31" s="239"/>
      <c r="G31" s="238"/>
      <c r="H31" s="238"/>
      <c r="I31" s="239"/>
      <c r="J31" s="364"/>
    </row>
    <row r="32" spans="2:30" s="346" customFormat="1" x14ac:dyDescent="0.2">
      <c r="B32" s="366" t="s">
        <v>91</v>
      </c>
      <c r="C32" s="367" t="s">
        <v>126</v>
      </c>
      <c r="D32" s="368"/>
      <c r="E32" s="366">
        <f>(SUMIF(E25:E30,"+",$D25:$D30))</f>
        <v>0</v>
      </c>
      <c r="F32" s="366">
        <f>(SUMIF(F25:F30,"+",$D25:$D30))</f>
        <v>1</v>
      </c>
      <c r="G32" s="366">
        <f>(SUMIF(G25:G30,"+",$D25:$D30))</f>
        <v>22</v>
      </c>
      <c r="H32" s="366">
        <f>(SUMIF(H25:H30,"+",$D25:$D30))</f>
        <v>0</v>
      </c>
      <c r="I32" s="366">
        <f>(SUMIF(I25:I30,"+",$D25:$D30))</f>
        <v>0</v>
      </c>
    </row>
    <row r="33" spans="2:9" s="346" customFormat="1" x14ac:dyDescent="0.2">
      <c r="B33" s="369" t="s">
        <v>93</v>
      </c>
      <c r="C33" s="370" t="s">
        <v>127</v>
      </c>
      <c r="D33" s="371"/>
      <c r="E33" s="369">
        <f>(SUMIF(E25:E30,"S",$D25:$D30))</f>
        <v>23</v>
      </c>
      <c r="F33" s="369">
        <f>(SUMIF(F25:F30,"S",$D25:$D30))</f>
        <v>0</v>
      </c>
      <c r="G33" s="369">
        <f>(SUMIF(G25:G30,"S",$D25:$D30))</f>
        <v>0</v>
      </c>
      <c r="H33" s="369">
        <f>(SUMIF(H25:H30,"S",$D25:$D30))</f>
        <v>23</v>
      </c>
      <c r="I33" s="369">
        <f>(SUMIF(I25:I30,"S",$D25:$D30))</f>
        <v>0</v>
      </c>
    </row>
    <row r="34" spans="2:9" s="346" customFormat="1" x14ac:dyDescent="0.2">
      <c r="B34" s="372" t="s">
        <v>95</v>
      </c>
      <c r="C34" s="373" t="s">
        <v>128</v>
      </c>
      <c r="D34" s="374"/>
      <c r="E34" s="372">
        <f>(SUMIF(E25:E30,"-",$D25:$D30))</f>
        <v>0</v>
      </c>
      <c r="F34" s="372">
        <f>(SUMIF(F25:F30,"-",$D25:$D30))</f>
        <v>22</v>
      </c>
      <c r="G34" s="372">
        <f>(SUMIF(G25:G30,"-",$D25:$D30))</f>
        <v>1</v>
      </c>
      <c r="H34" s="372">
        <f>(SUMIF(H25:H30,"-",$D25:$D30))</f>
        <v>0</v>
      </c>
      <c r="I34" s="372">
        <f>(SUMIF(I25:I30,"-",$D25:$D30))</f>
        <v>0</v>
      </c>
    </row>
    <row r="35" spans="2:9" ht="20.100000000000001" customHeight="1" x14ac:dyDescent="0.2">
      <c r="B35" s="375" t="s">
        <v>96</v>
      </c>
      <c r="C35" s="376" t="s">
        <v>129</v>
      </c>
      <c r="D35" s="377"/>
      <c r="E35" s="375">
        <f>E32-E34</f>
        <v>0</v>
      </c>
      <c r="F35" s="375">
        <f>F32-F34</f>
        <v>-21</v>
      </c>
      <c r="G35" s="375">
        <f>G32-G34</f>
        <v>21</v>
      </c>
      <c r="H35" s="375">
        <f>H32-H34</f>
        <v>0</v>
      </c>
      <c r="I35" s="375">
        <f>I32-I34</f>
        <v>0</v>
      </c>
    </row>
  </sheetData>
  <mergeCells count="4">
    <mergeCell ref="B20:I20"/>
    <mergeCell ref="B21:I21"/>
    <mergeCell ref="B23:D23"/>
    <mergeCell ref="E23:I23"/>
  </mergeCells>
  <phoneticPr fontId="13" type="noConversion"/>
  <conditionalFormatting sqref="B25:B30">
    <cfRule type="expression" dxfId="29" priority="1" stopIfTrue="1">
      <formula>OR((LEFT($C25,12)="Template Row"),(LEFT(B$24,15)="Template Column"))</formula>
    </cfRule>
    <cfRule type="expression" dxfId="28" priority="2" stopIfTrue="1">
      <formula>MOD(ROW(B25),2)=0</formula>
    </cfRule>
    <cfRule type="expression" dxfId="27" priority="3" stopIfTrue="1">
      <formula>MOD(ROW(B25),2)&lt;&gt;0</formula>
    </cfRule>
  </conditionalFormatting>
  <conditionalFormatting sqref="C25:C30">
    <cfRule type="expression" dxfId="26" priority="4" stopIfTrue="1">
      <formula>OR((LEFT($C25,12)="Template Row"),(LEFT(C$24,15)="Template Column"))</formula>
    </cfRule>
    <cfRule type="expression" dxfId="25" priority="5" stopIfTrue="1">
      <formula>MOD(ROW(B25),2)=0</formula>
    </cfRule>
    <cfRule type="expression" dxfId="24" priority="6" stopIfTrue="1">
      <formula>MOD(ROW(B25),2)&lt;&gt;0</formula>
    </cfRule>
  </conditionalFormatting>
  <conditionalFormatting sqref="D25:D30 I25:I30">
    <cfRule type="expression" dxfId="23" priority="7" stopIfTrue="1">
      <formula>OR((LEFT($C25,12)="Template Row"),(LEFT(D$24,15)="Template Column"))</formula>
    </cfRule>
    <cfRule type="expression" dxfId="22" priority="8" stopIfTrue="1">
      <formula>MOD(ROW(B25),2)=0</formula>
    </cfRule>
    <cfRule type="expression" dxfId="21" priority="9" stopIfTrue="1">
      <formula>MOD(ROW(B25),2)&lt;&gt;0</formula>
    </cfRule>
  </conditionalFormatting>
  <conditionalFormatting sqref="E25:E30">
    <cfRule type="expression" dxfId="20" priority="10" stopIfTrue="1">
      <formula>OR((LEFT($C25,12)="Template Row"),(LEFT(E$24,15)="Template Column"))</formula>
    </cfRule>
    <cfRule type="expression" dxfId="19" priority="11" stopIfTrue="1">
      <formula>MOD(ROW(B25),2)=0</formula>
    </cfRule>
    <cfRule type="expression" dxfId="18" priority="12" stopIfTrue="1">
      <formula>MOD(ROW(B25),2)&lt;&gt;0</formula>
    </cfRule>
  </conditionalFormatting>
  <conditionalFormatting sqref="F25:H30">
    <cfRule type="expression" dxfId="17" priority="13" stopIfTrue="1">
      <formula>OR((LEFT($C25,12)="Template Row"),(LEFT(F$24,15)="Template Column"))</formula>
    </cfRule>
    <cfRule type="expression" dxfId="16" priority="14" stopIfTrue="1">
      <formula>MOD(ROW(B25),2)=0</formula>
    </cfRule>
    <cfRule type="expression" dxfId="15" priority="15" stopIfTrue="1">
      <formula>MOD(ROW(B25),2)&lt;&gt;0</formula>
    </cfRule>
  </conditionalFormatting>
  <dataValidations count="2">
    <dataValidation type="list" allowBlank="1" showInputMessage="1" showErrorMessage="1" sqref="D25:D30">
      <formula1>IF(OR((LEFT($C25,12)="Template Row"),(LEFT(E$24,15)="Template Column"),($C25="")),Null,Ranking_Criteria)</formula1>
    </dataValidation>
    <dataValidation type="list" allowBlank="1" showInputMessage="1" showErrorMessage="1" sqref="E25:I30">
      <formula1>IF(OR((LEFT($C25,12)="Template Row"),(LEFT(E$24,15)="Template Column"),($C25=""),(E$24="")),Null,Ranking_Alternatives)</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615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6157"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A1:AO24"/>
  <sheetViews>
    <sheetView showGridLines="0" zoomScaleNormal="100" workbookViewId="0">
      <selection activeCell="C27" sqref="C27"/>
    </sheetView>
  </sheetViews>
  <sheetFormatPr defaultRowHeight="12.75" x14ac:dyDescent="0.2"/>
  <cols>
    <col min="1" max="1" width="0.85546875" style="209" customWidth="1"/>
    <col min="2" max="2" width="3.7109375" style="209" customWidth="1"/>
    <col min="3" max="3" width="40.7109375" style="217" customWidth="1"/>
    <col min="4" max="5" width="5.7109375" style="218" customWidth="1"/>
    <col min="6" max="6" width="5.7109375" style="209" customWidth="1"/>
    <col min="7" max="9" width="5.7109375" style="218" customWidth="1"/>
    <col min="10" max="10" width="5.140625" style="209" hidden="1" customWidth="1"/>
    <col min="11" max="11" width="40.7109375" style="209" customWidth="1"/>
    <col min="12" max="12" width="0.85546875" style="209" customWidth="1"/>
    <col min="13" max="16384" width="9.140625" style="209"/>
  </cols>
  <sheetData>
    <row r="1" spans="2:39" ht="18" x14ac:dyDescent="0.2">
      <c r="D1" s="318" t="s">
        <v>162</v>
      </c>
      <c r="AA1" s="46" t="s">
        <v>141</v>
      </c>
      <c r="AB1" s="254" t="s">
        <v>90</v>
      </c>
      <c r="AC1" s="254" t="s">
        <v>143</v>
      </c>
      <c r="AD1" s="254" t="s">
        <v>144</v>
      </c>
      <c r="AE1" s="254" t="s">
        <v>145</v>
      </c>
      <c r="AF1" s="254"/>
      <c r="AG1"/>
      <c r="AH1" s="46" t="s">
        <v>146</v>
      </c>
      <c r="AI1" s="254" t="s">
        <v>90</v>
      </c>
      <c r="AJ1" s="202" t="s">
        <v>147</v>
      </c>
      <c r="AK1" s="202" t="s">
        <v>148</v>
      </c>
      <c r="AL1" s="202" t="s">
        <v>149</v>
      </c>
      <c r="AM1" s="257"/>
    </row>
    <row r="2" spans="2:39" x14ac:dyDescent="0.2">
      <c r="AA2"/>
      <c r="AB2" s="254" t="s">
        <v>142</v>
      </c>
      <c r="AC2" s="255">
        <v>9</v>
      </c>
      <c r="AD2" s="255">
        <v>3</v>
      </c>
      <c r="AE2" s="255">
        <v>1</v>
      </c>
      <c r="AF2" s="256"/>
      <c r="AG2"/>
      <c r="AH2"/>
      <c r="AI2" s="254" t="s">
        <v>142</v>
      </c>
      <c r="AJ2" s="255" t="s">
        <v>132</v>
      </c>
      <c r="AK2" s="255" t="s">
        <v>113</v>
      </c>
      <c r="AL2" s="255" t="s">
        <v>133</v>
      </c>
      <c r="AM2" s="258"/>
    </row>
    <row r="3" spans="2:39" ht="13.5" thickBot="1" x14ac:dyDescent="0.25"/>
    <row r="4" spans="2:39" ht="13.5" thickBot="1" x14ac:dyDescent="0.25">
      <c r="B4" s="556"/>
      <c r="C4" s="556"/>
      <c r="D4" s="556"/>
      <c r="E4" s="557" t="s">
        <v>100</v>
      </c>
      <c r="F4" s="558"/>
      <c r="G4" s="558"/>
      <c r="H4" s="558"/>
      <c r="I4" s="558"/>
      <c r="J4" s="559"/>
      <c r="K4" s="260"/>
    </row>
    <row r="5" spans="2:39" ht="95.1" customHeight="1" thickBot="1" x14ac:dyDescent="0.25">
      <c r="B5" s="261" t="s">
        <v>101</v>
      </c>
      <c r="C5" s="262" t="s">
        <v>102</v>
      </c>
      <c r="D5" s="263" t="s">
        <v>103</v>
      </c>
      <c r="E5" s="264" t="s">
        <v>104</v>
      </c>
      <c r="F5" s="265" t="s">
        <v>5</v>
      </c>
      <c r="G5" s="266" t="s">
        <v>6</v>
      </c>
      <c r="H5" s="266" t="s">
        <v>7</v>
      </c>
      <c r="I5" s="266" t="s">
        <v>73</v>
      </c>
      <c r="J5" s="267" t="s">
        <v>110</v>
      </c>
      <c r="K5" s="268" t="s">
        <v>111</v>
      </c>
      <c r="AJ5" s="227"/>
      <c r="AK5" s="228"/>
    </row>
    <row r="6" spans="2:39" x14ac:dyDescent="0.2">
      <c r="B6" s="269">
        <v>1</v>
      </c>
      <c r="C6" s="230"/>
      <c r="D6" s="270">
        <v>9</v>
      </c>
      <c r="E6" s="271" t="s">
        <v>113</v>
      </c>
      <c r="F6" s="272"/>
      <c r="G6" s="231" t="s">
        <v>133</v>
      </c>
      <c r="H6" s="231"/>
      <c r="I6" s="231"/>
      <c r="J6" s="273"/>
      <c r="K6" s="274"/>
      <c r="L6" s="233"/>
      <c r="M6" s="234"/>
      <c r="AK6" s="227"/>
    </row>
    <row r="7" spans="2:39" x14ac:dyDescent="0.2">
      <c r="B7" s="269">
        <v>2</v>
      </c>
      <c r="C7" s="230"/>
      <c r="D7" s="270">
        <v>3</v>
      </c>
      <c r="E7" s="271" t="s">
        <v>113</v>
      </c>
      <c r="F7" s="272"/>
      <c r="G7" s="231" t="s">
        <v>133</v>
      </c>
      <c r="H7" s="231"/>
      <c r="I7" s="231"/>
      <c r="J7" s="273"/>
      <c r="K7" s="274"/>
      <c r="L7" s="233"/>
      <c r="M7" s="234"/>
    </row>
    <row r="8" spans="2:39" x14ac:dyDescent="0.2">
      <c r="B8" s="269">
        <v>3</v>
      </c>
      <c r="C8" s="230"/>
      <c r="D8" s="270">
        <v>1</v>
      </c>
      <c r="E8" s="271" t="s">
        <v>113</v>
      </c>
      <c r="F8" s="272"/>
      <c r="G8" s="231" t="s">
        <v>133</v>
      </c>
      <c r="H8" s="231"/>
      <c r="I8" s="231"/>
      <c r="J8" s="273"/>
      <c r="K8" s="274"/>
      <c r="L8" s="233"/>
      <c r="M8" s="234"/>
    </row>
    <row r="9" spans="2:39" ht="13.5" thickBot="1" x14ac:dyDescent="0.25">
      <c r="B9" s="269">
        <v>4</v>
      </c>
      <c r="C9" s="230"/>
      <c r="D9" s="340"/>
      <c r="E9" s="271" t="s">
        <v>113</v>
      </c>
      <c r="F9" s="272"/>
      <c r="G9" s="231"/>
      <c r="H9" s="231"/>
      <c r="I9" s="231"/>
      <c r="J9" s="273"/>
      <c r="K9" s="274"/>
      <c r="L9" s="233"/>
      <c r="M9" s="234"/>
    </row>
    <row r="10" spans="2:39" ht="13.5" hidden="1" thickBot="1" x14ac:dyDescent="0.25">
      <c r="B10" s="275"/>
      <c r="C10" s="276" t="s">
        <v>123</v>
      </c>
      <c r="D10" s="339"/>
      <c r="E10" s="277" t="s">
        <v>113</v>
      </c>
      <c r="F10" s="278"/>
      <c r="G10" s="279"/>
      <c r="H10" s="279"/>
      <c r="I10" s="279"/>
      <c r="J10" s="280"/>
      <c r="K10" s="281"/>
      <c r="L10" s="233"/>
      <c r="M10" s="233"/>
    </row>
    <row r="11" spans="2:39" x14ac:dyDescent="0.2">
      <c r="B11" s="282"/>
      <c r="C11" s="283" t="s">
        <v>125</v>
      </c>
      <c r="D11" s="209"/>
      <c r="E11" s="284"/>
      <c r="F11" s="284"/>
      <c r="G11" s="284"/>
      <c r="H11" s="284"/>
      <c r="I11" s="284"/>
      <c r="J11" s="285"/>
      <c r="K11" s="286"/>
    </row>
    <row r="12" spans="2:39" s="244" customFormat="1" x14ac:dyDescent="0.2">
      <c r="B12" s="287" t="s">
        <v>91</v>
      </c>
      <c r="C12" s="242" t="s">
        <v>126</v>
      </c>
      <c r="D12" s="243"/>
      <c r="E12" s="241">
        <f t="shared" ref="E12:J12" si="0">(SUMIF(E6:E10,"+",$D6:$D10))</f>
        <v>0</v>
      </c>
      <c r="F12" s="241">
        <f t="shared" si="0"/>
        <v>0</v>
      </c>
      <c r="G12" s="241">
        <f t="shared" si="0"/>
        <v>0</v>
      </c>
      <c r="H12" s="241">
        <f t="shared" si="0"/>
        <v>0</v>
      </c>
      <c r="I12" s="241">
        <f t="shared" si="0"/>
        <v>0</v>
      </c>
      <c r="J12" s="288">
        <f t="shared" si="0"/>
        <v>0</v>
      </c>
      <c r="K12" s="289"/>
    </row>
    <row r="13" spans="2:39" s="244" customFormat="1" x14ac:dyDescent="0.2">
      <c r="B13" s="290" t="s">
        <v>93</v>
      </c>
      <c r="C13" s="246" t="s">
        <v>127</v>
      </c>
      <c r="D13" s="247"/>
      <c r="E13" s="245">
        <f t="shared" ref="E13:J13" si="1">(SUMIF(E6:E10,"S",$D6:$D10))</f>
        <v>13</v>
      </c>
      <c r="F13" s="245">
        <f t="shared" si="1"/>
        <v>0</v>
      </c>
      <c r="G13" s="245">
        <f t="shared" si="1"/>
        <v>0</v>
      </c>
      <c r="H13" s="245">
        <f t="shared" si="1"/>
        <v>0</v>
      </c>
      <c r="I13" s="245">
        <f t="shared" si="1"/>
        <v>0</v>
      </c>
      <c r="J13" s="291">
        <f t="shared" si="1"/>
        <v>0</v>
      </c>
      <c r="K13" s="292"/>
    </row>
    <row r="14" spans="2:39" s="244" customFormat="1" x14ac:dyDescent="0.2">
      <c r="B14" s="293" t="s">
        <v>95</v>
      </c>
      <c r="C14" s="249" t="s">
        <v>128</v>
      </c>
      <c r="D14" s="250"/>
      <c r="E14" s="248">
        <f t="shared" ref="E14:J14" si="2">(SUMIF(E6:E10,"-",$D6:$D10))</f>
        <v>0</v>
      </c>
      <c r="F14" s="248">
        <f t="shared" si="2"/>
        <v>0</v>
      </c>
      <c r="G14" s="248">
        <f t="shared" si="2"/>
        <v>13</v>
      </c>
      <c r="H14" s="248">
        <f t="shared" si="2"/>
        <v>0</v>
      </c>
      <c r="I14" s="248">
        <f t="shared" si="2"/>
        <v>0</v>
      </c>
      <c r="J14" s="294">
        <f t="shared" si="2"/>
        <v>0</v>
      </c>
      <c r="K14" s="292"/>
    </row>
    <row r="15" spans="2:39" ht="16.5" thickBot="1" x14ac:dyDescent="0.25">
      <c r="B15" s="295" t="s">
        <v>96</v>
      </c>
      <c r="C15" s="296" t="s">
        <v>129</v>
      </c>
      <c r="D15" s="297"/>
      <c r="E15" s="298">
        <f t="shared" ref="E15:J15" si="3">E12-E14</f>
        <v>0</v>
      </c>
      <c r="F15" s="298">
        <f t="shared" si="3"/>
        <v>0</v>
      </c>
      <c r="G15" s="298">
        <f t="shared" si="3"/>
        <v>-13</v>
      </c>
      <c r="H15" s="298">
        <f t="shared" si="3"/>
        <v>0</v>
      </c>
      <c r="I15" s="298">
        <f t="shared" si="3"/>
        <v>0</v>
      </c>
      <c r="J15" s="299">
        <f t="shared" si="3"/>
        <v>0</v>
      </c>
      <c r="K15" s="259"/>
    </row>
    <row r="16" spans="2:39" x14ac:dyDescent="0.2">
      <c r="B16" s="300"/>
      <c r="J16" s="301"/>
    </row>
    <row r="18" spans="1:41" s="115" customFormat="1" x14ac:dyDescent="0.2">
      <c r="A18" s="479"/>
      <c r="B18" s="479"/>
      <c r="C18" s="321" t="s">
        <v>163</v>
      </c>
      <c r="D18" s="321"/>
      <c r="E18" s="321"/>
      <c r="F18" s="321"/>
      <c r="G18" s="321"/>
      <c r="H18" s="321"/>
      <c r="I18" s="321"/>
      <c r="J18" s="321"/>
      <c r="K18" s="321"/>
      <c r="L18" s="116"/>
      <c r="M18" s="158"/>
      <c r="N18" s="116"/>
      <c r="O18" s="158"/>
      <c r="P18" s="158"/>
      <c r="Q18" s="158"/>
      <c r="R18" s="158"/>
      <c r="S18" s="158"/>
      <c r="T18" s="158"/>
      <c r="U18" s="158"/>
      <c r="V18" s="158"/>
      <c r="W18" s="158"/>
      <c r="X18" s="158"/>
      <c r="Y18" s="158"/>
      <c r="Z18" s="158"/>
      <c r="AA18" s="116"/>
      <c r="AB18" s="158"/>
      <c r="AC18" s="116"/>
      <c r="AD18" s="158"/>
      <c r="AE18" s="116"/>
      <c r="AF18" s="116"/>
      <c r="AG18" s="116"/>
      <c r="AH18" s="116"/>
      <c r="AI18" s="116"/>
      <c r="AJ18" s="116"/>
      <c r="AK18" s="116"/>
      <c r="AL18" s="116"/>
      <c r="AM18" s="116"/>
      <c r="AN18" s="116"/>
      <c r="AO18" s="116"/>
    </row>
    <row r="19" spans="1:41" s="115" customFormat="1" x14ac:dyDescent="0.2">
      <c r="A19" s="120"/>
      <c r="C19" s="320" t="s">
        <v>66</v>
      </c>
      <c r="D19" s="320"/>
      <c r="E19" s="320"/>
      <c r="F19" s="320"/>
      <c r="G19" s="159"/>
      <c r="H19" s="128"/>
      <c r="I19" s="157"/>
      <c r="J19" s="157"/>
      <c r="K19" s="157"/>
      <c r="L19" s="116"/>
      <c r="M19" s="157"/>
      <c r="N19" s="116"/>
      <c r="O19" s="157"/>
      <c r="P19" s="157"/>
      <c r="Q19" s="157"/>
      <c r="R19" s="157"/>
      <c r="S19" s="157"/>
      <c r="T19" s="157"/>
      <c r="U19" s="157"/>
      <c r="V19" s="157"/>
      <c r="W19" s="157"/>
      <c r="X19" s="157"/>
      <c r="Y19" s="157"/>
      <c r="Z19" s="157"/>
      <c r="AA19" s="116"/>
      <c r="AB19" s="157"/>
      <c r="AC19" s="116"/>
      <c r="AD19" s="157"/>
      <c r="AE19" s="116"/>
      <c r="AF19" s="116"/>
      <c r="AG19" s="116"/>
      <c r="AH19" s="116"/>
      <c r="AI19" s="116"/>
      <c r="AJ19" s="116"/>
      <c r="AK19" s="116"/>
      <c r="AL19" s="116"/>
      <c r="AM19" s="116"/>
      <c r="AN19" s="116"/>
      <c r="AO19" s="116"/>
    </row>
    <row r="20" spans="1:41" s="115" customFormat="1" x14ac:dyDescent="0.2">
      <c r="A20" s="124"/>
      <c r="C20" s="133" t="s">
        <v>21</v>
      </c>
      <c r="D20" s="133"/>
      <c r="E20" s="133"/>
      <c r="F20" s="133"/>
      <c r="G20" s="159"/>
      <c r="H20" s="128"/>
      <c r="I20" s="157"/>
      <c r="J20" s="157"/>
      <c r="K20" s="157"/>
      <c r="L20" s="116"/>
      <c r="M20" s="157"/>
      <c r="N20" s="116"/>
      <c r="O20" s="157"/>
      <c r="P20" s="157"/>
      <c r="Q20" s="157"/>
      <c r="R20" s="157"/>
      <c r="S20" s="157"/>
      <c r="T20" s="157"/>
      <c r="U20" s="157"/>
      <c r="V20" s="157"/>
      <c r="W20" s="157"/>
      <c r="X20" s="157"/>
      <c r="Y20" s="157"/>
      <c r="Z20" s="157"/>
      <c r="AA20" s="116"/>
      <c r="AB20" s="157"/>
      <c r="AC20" s="116"/>
      <c r="AD20" s="157"/>
      <c r="AE20" s="116"/>
      <c r="AF20" s="116"/>
      <c r="AG20" s="116"/>
      <c r="AH20" s="116"/>
      <c r="AI20" s="116"/>
      <c r="AJ20" s="116"/>
      <c r="AK20" s="116"/>
      <c r="AL20" s="116"/>
      <c r="AM20" s="116"/>
      <c r="AN20" s="116"/>
      <c r="AO20" s="116"/>
    </row>
    <row r="21" spans="1:41" s="115" customFormat="1" ht="12.75" customHeight="1" x14ac:dyDescent="0.2">
      <c r="A21" s="479"/>
      <c r="B21" s="479"/>
      <c r="C21" s="320" t="s">
        <v>67</v>
      </c>
      <c r="D21" s="319"/>
      <c r="E21" s="152"/>
      <c r="F21" s="152"/>
      <c r="G21" s="152"/>
      <c r="H21" s="152"/>
      <c r="I21" s="152"/>
      <c r="J21" s="152"/>
      <c r="K21" s="158"/>
      <c r="L21" s="116"/>
      <c r="M21" s="158"/>
      <c r="N21" s="116"/>
      <c r="O21" s="158"/>
      <c r="P21" s="158"/>
      <c r="Q21" s="158"/>
      <c r="R21" s="158"/>
      <c r="S21" s="158"/>
      <c r="T21" s="158"/>
      <c r="U21" s="158"/>
      <c r="V21" s="158"/>
      <c r="W21" s="158"/>
      <c r="X21" s="158"/>
      <c r="Y21" s="158"/>
      <c r="Z21" s="158"/>
      <c r="AA21" s="116"/>
      <c r="AB21" s="158"/>
      <c r="AC21" s="116"/>
      <c r="AD21" s="158"/>
      <c r="AE21" s="116"/>
      <c r="AF21" s="116"/>
      <c r="AG21" s="116"/>
      <c r="AH21" s="116"/>
      <c r="AI21" s="116"/>
      <c r="AJ21" s="116"/>
      <c r="AK21" s="116"/>
      <c r="AL21" s="116"/>
      <c r="AM21" s="116"/>
      <c r="AN21" s="116"/>
      <c r="AO21" s="116"/>
    </row>
    <row r="22" spans="1:41" s="115" customFormat="1" ht="12.75" customHeight="1" x14ac:dyDescent="0.2">
      <c r="A22" s="479"/>
      <c r="B22" s="479"/>
      <c r="C22" s="151" t="s">
        <v>27</v>
      </c>
      <c r="D22" s="319"/>
      <c r="E22" s="152"/>
      <c r="F22" s="152"/>
      <c r="G22" s="152"/>
      <c r="H22" s="152"/>
      <c r="I22" s="152"/>
      <c r="J22" s="152"/>
      <c r="K22" s="158"/>
      <c r="L22" s="116"/>
      <c r="M22" s="158"/>
      <c r="N22" s="116"/>
      <c r="O22" s="158"/>
      <c r="P22" s="158"/>
      <c r="Q22" s="158"/>
      <c r="R22" s="158"/>
      <c r="S22" s="158"/>
      <c r="T22" s="158"/>
      <c r="U22" s="158"/>
      <c r="V22" s="158"/>
      <c r="W22" s="158"/>
      <c r="X22" s="158"/>
      <c r="Y22" s="158"/>
      <c r="Z22" s="158"/>
      <c r="AA22" s="116"/>
      <c r="AB22" s="158"/>
      <c r="AC22" s="116"/>
      <c r="AD22" s="158"/>
      <c r="AE22" s="116"/>
      <c r="AF22" s="116"/>
      <c r="AG22" s="116"/>
      <c r="AH22" s="116"/>
      <c r="AI22" s="116"/>
      <c r="AJ22" s="116"/>
      <c r="AK22" s="116"/>
      <c r="AL22" s="116"/>
      <c r="AM22" s="116"/>
      <c r="AN22" s="116"/>
      <c r="AO22" s="116"/>
    </row>
    <row r="23" spans="1:41" s="115" customFormat="1" ht="12.75" customHeight="1" x14ac:dyDescent="0.2">
      <c r="A23" s="479"/>
      <c r="B23" s="479"/>
      <c r="C23" s="320" t="s">
        <v>68</v>
      </c>
      <c r="D23" s="319"/>
      <c r="E23" s="152"/>
      <c r="F23" s="152"/>
      <c r="G23" s="152"/>
      <c r="H23" s="152"/>
      <c r="I23" s="152"/>
      <c r="J23" s="152"/>
      <c r="K23" s="152"/>
      <c r="L23" s="116"/>
      <c r="M23" s="152"/>
      <c r="N23" s="116"/>
      <c r="O23" s="152"/>
      <c r="P23" s="152"/>
      <c r="Q23" s="152"/>
      <c r="R23" s="152"/>
      <c r="S23" s="152"/>
      <c r="T23" s="152"/>
      <c r="U23" s="152"/>
      <c r="V23" s="152"/>
      <c r="W23" s="152"/>
      <c r="X23" s="152"/>
      <c r="Y23" s="152"/>
      <c r="Z23" s="152"/>
      <c r="AA23" s="116"/>
      <c r="AB23" s="152"/>
      <c r="AC23" s="116"/>
      <c r="AD23" s="152"/>
      <c r="AE23" s="116"/>
      <c r="AF23" s="116"/>
      <c r="AG23" s="116"/>
      <c r="AH23" s="116"/>
      <c r="AI23" s="116"/>
      <c r="AJ23" s="116"/>
      <c r="AK23" s="116"/>
      <c r="AL23" s="116"/>
      <c r="AM23" s="116"/>
      <c r="AN23" s="116"/>
      <c r="AO23" s="116"/>
    </row>
    <row r="24" spans="1:41" s="115" customFormat="1" x14ac:dyDescent="0.2">
      <c r="A24" s="479"/>
      <c r="B24" s="479"/>
      <c r="C24" s="511"/>
      <c r="D24" s="510"/>
      <c r="E24" s="560"/>
      <c r="F24" s="560"/>
      <c r="G24" s="560"/>
      <c r="H24" s="560"/>
      <c r="I24" s="560"/>
      <c r="J24" s="560"/>
      <c r="K24" s="152"/>
      <c r="L24" s="116"/>
      <c r="M24" s="152"/>
      <c r="N24" s="116"/>
      <c r="O24" s="152"/>
      <c r="P24" s="152"/>
      <c r="Q24" s="152"/>
      <c r="R24" s="152"/>
      <c r="S24" s="152"/>
      <c r="T24" s="152"/>
      <c r="U24" s="152"/>
      <c r="V24" s="152"/>
      <c r="W24" s="152"/>
      <c r="X24" s="152"/>
      <c r="Y24" s="152"/>
      <c r="Z24" s="152"/>
      <c r="AA24" s="116"/>
      <c r="AB24" s="152"/>
      <c r="AC24" s="116"/>
      <c r="AD24" s="152"/>
      <c r="AE24" s="116"/>
      <c r="AF24" s="116"/>
      <c r="AG24" s="116"/>
      <c r="AH24" s="116"/>
      <c r="AI24" s="116"/>
      <c r="AJ24" s="116"/>
      <c r="AK24" s="116"/>
      <c r="AL24" s="116"/>
      <c r="AM24" s="116"/>
      <c r="AN24" s="116"/>
      <c r="AO24" s="116"/>
    </row>
  </sheetData>
  <mergeCells count="8">
    <mergeCell ref="A21:B21"/>
    <mergeCell ref="B4:D4"/>
    <mergeCell ref="E4:J4"/>
    <mergeCell ref="A18:B18"/>
    <mergeCell ref="A24:B24"/>
    <mergeCell ref="C24:J24"/>
    <mergeCell ref="A22:B22"/>
    <mergeCell ref="A23:B23"/>
  </mergeCells>
  <phoneticPr fontId="13" type="noConversion"/>
  <conditionalFormatting sqref="B6:B10">
    <cfRule type="expression" dxfId="14" priority="1" stopIfTrue="1">
      <formula>OR((LEFT($C6,12)="Template Row"),(LEFT(B$5,15)="Template Column"))</formula>
    </cfRule>
    <cfRule type="expression" dxfId="13" priority="2" stopIfTrue="1">
      <formula>MOD(ROW(B6),2)=0</formula>
    </cfRule>
    <cfRule type="expression" dxfId="12" priority="3" stopIfTrue="1">
      <formula>MOD(ROW(B6),2)&lt;&gt;0</formula>
    </cfRule>
  </conditionalFormatting>
  <conditionalFormatting sqref="C6:C10">
    <cfRule type="expression" dxfId="11" priority="4" stopIfTrue="1">
      <formula>OR((LEFT($C6,12)="Template Row"),(LEFT(C$5,15)="Template Column"))</formula>
    </cfRule>
    <cfRule type="expression" dxfId="10" priority="5" stopIfTrue="1">
      <formula>MOD(ROW(B6),2)=0</formula>
    </cfRule>
    <cfRule type="expression" dxfId="9" priority="6" stopIfTrue="1">
      <formula>MOD(ROW(B6),2)&lt;&gt;0</formula>
    </cfRule>
  </conditionalFormatting>
  <conditionalFormatting sqref="D6:D10">
    <cfRule type="expression" dxfId="8" priority="7" stopIfTrue="1">
      <formula>OR((LEFT($C6,12)="Template Row"),(LEFT(D$5,15)="Template Column"))</formula>
    </cfRule>
    <cfRule type="expression" dxfId="7" priority="8" stopIfTrue="1">
      <formula>MOD(ROW(B6),2)=0</formula>
    </cfRule>
    <cfRule type="expression" dxfId="6" priority="9" stopIfTrue="1">
      <formula>MOD(ROW(B6),2)&lt;&gt;0</formula>
    </cfRule>
  </conditionalFormatting>
  <conditionalFormatting sqref="E6:E10 J6:J10">
    <cfRule type="expression" dxfId="5" priority="10" stopIfTrue="1">
      <formula>OR((LEFT($C6,12)="Template Row"),(LEFT(E$5,15)="Template Column"))</formula>
    </cfRule>
    <cfRule type="expression" dxfId="4" priority="11" stopIfTrue="1">
      <formula>MOD(ROW(B6),2)=0</formula>
    </cfRule>
    <cfRule type="expression" dxfId="3" priority="12" stopIfTrue="1">
      <formula>MOD(ROW(B6),2)&lt;&gt;0</formula>
    </cfRule>
  </conditionalFormatting>
  <conditionalFormatting sqref="F6:I10">
    <cfRule type="expression" dxfId="2" priority="13" stopIfTrue="1">
      <formula>OR((LEFT($C6,12)="Template Row"),(LEFT(F$5,15)="Template Column"))</formula>
    </cfRule>
    <cfRule type="expression" dxfId="1" priority="14" stopIfTrue="1">
      <formula>MOD(ROW(B6),2)=0</formula>
    </cfRule>
    <cfRule type="expression" dxfId="0" priority="15" stopIfTrue="1">
      <formula>MOD(ROW(B6),2)&lt;&gt;0</formula>
    </cfRule>
  </conditionalFormatting>
  <dataValidations count="3">
    <dataValidation type="list" allowBlank="1" showInputMessage="1" showErrorMessage="1" sqref="E6:E10">
      <formula1>IF(OR((LEFT($C6,12)="Template Row"),(LEFT(E$5,15)="Template Column"),($C6=""),(E$5="")),Null,Ranking_Alternatives)</formula1>
    </dataValidation>
    <dataValidation type="list" allowBlank="1" showInputMessage="1" showErrorMessage="1" sqref="D6:D10">
      <formula1>"9,3,1"</formula1>
    </dataValidation>
    <dataValidation type="list" allowBlank="1" showInputMessage="1" showErrorMessage="1" sqref="F6:J10">
      <formula1>"+,S,-, "</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7190" r:id="rId4">
          <objectPr defaultSize="0" r:id="rId5">
            <anchor moveWithCells="1">
              <from>
                <xdr:col>0</xdr:col>
                <xdr:colOff>38100</xdr:colOff>
                <xdr:row>0</xdr:row>
                <xdr:rowOff>19050</xdr:rowOff>
              </from>
              <to>
                <xdr:col>2</xdr:col>
                <xdr:colOff>914400</xdr:colOff>
                <xdr:row>1</xdr:row>
                <xdr:rowOff>47625</xdr:rowOff>
              </to>
            </anchor>
          </objectPr>
        </oleObject>
      </mc:Choice>
      <mc:Fallback>
        <oleObject progId="Word.Document.8" shapeId="7190" r:id="rId4"/>
      </mc:Fallback>
    </mc:AlternateContent>
  </oleObjects>
  <controls>
    <mc:AlternateContent xmlns:mc="http://schemas.openxmlformats.org/markup-compatibility/2006">
      <mc:Choice Requires="x14">
        <control shapeId="7181" r:id="rId6" name="CommandButton1">
          <controlPr defaultSize="0" autoLine="0" autoPict="0" r:id="rId7">
            <anchor moveWithCells="1">
              <from>
                <xdr:col>2</xdr:col>
                <xdr:colOff>762000</xdr:colOff>
                <xdr:row>2</xdr:row>
                <xdr:rowOff>85725</xdr:rowOff>
              </from>
              <to>
                <xdr:col>2</xdr:col>
                <xdr:colOff>1857375</xdr:colOff>
                <xdr:row>3</xdr:row>
                <xdr:rowOff>161925</xdr:rowOff>
              </to>
            </anchor>
          </controlPr>
        </control>
      </mc:Choice>
      <mc:Fallback>
        <control shapeId="7181" r:id="rId6" name="CommandButton1"/>
      </mc:Fallback>
    </mc:AlternateContent>
    <mc:AlternateContent xmlns:mc="http://schemas.openxmlformats.org/markup-compatibility/2006">
      <mc:Choice Requires="x14">
        <control shapeId="7182" r:id="rId8" name="CommandButton2">
          <controlPr defaultSize="0" autoLine="0" r:id="rId9">
            <anchor moveWithCells="1">
              <from>
                <xdr:col>1</xdr:col>
                <xdr:colOff>0</xdr:colOff>
                <xdr:row>2</xdr:row>
                <xdr:rowOff>85725</xdr:rowOff>
              </from>
              <to>
                <xdr:col>2</xdr:col>
                <xdr:colOff>762000</xdr:colOff>
                <xdr:row>3</xdr:row>
                <xdr:rowOff>161925</xdr:rowOff>
              </to>
            </anchor>
          </controlPr>
        </control>
      </mc:Choice>
      <mc:Fallback>
        <control shapeId="7182" r:id="rId8" name="CommandButton2"/>
      </mc:Fallback>
    </mc:AlternateContent>
    <mc:AlternateContent xmlns:mc="http://schemas.openxmlformats.org/markup-compatibility/2006">
      <mc:Choice Requires="x14">
        <control shapeId="7200" r:id="rId10" name="Button 32">
          <controlPr defaultSize="0" autoFill="0" autoPict="0" macro="[0]!Sheet7.Evaluate_Pugh">
            <anchor moveWithCells="1">
              <from>
                <xdr:col>1</xdr:col>
                <xdr:colOff>9525</xdr:colOff>
                <xdr:row>15</xdr:row>
                <xdr:rowOff>47625</xdr:rowOff>
              </from>
              <to>
                <xdr:col>2</xdr:col>
                <xdr:colOff>1162050</xdr:colOff>
                <xdr:row>16</xdr:row>
                <xdr:rowOff>95250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Template_History</vt:lpstr>
      <vt:lpstr>Revision History</vt:lpstr>
      <vt:lpstr>Summary Sheet</vt:lpstr>
      <vt:lpstr>Example_Grid</vt:lpstr>
      <vt:lpstr>Grid_Analysis</vt:lpstr>
      <vt:lpstr>Help_Pugh_Matrix</vt:lpstr>
      <vt:lpstr>Example_Pugh</vt:lpstr>
      <vt:lpstr>Pugh_Matrix</vt:lpstr>
      <vt:lpstr>Comm_Header</vt:lpstr>
      <vt:lpstr>DecisionCell</vt:lpstr>
      <vt:lpstr>DecisionPugh</vt:lpstr>
      <vt:lpstr>HeadPugh</vt:lpstr>
      <vt:lpstr>HeadRef</vt:lpstr>
      <vt:lpstr>Example_Pugh!Levels</vt:lpstr>
      <vt:lpstr>Example_Pugh!Null</vt:lpstr>
      <vt:lpstr>Example_Grid!Print_Area</vt:lpstr>
      <vt:lpstr>Example_Pugh!Print_Area</vt:lpstr>
      <vt:lpstr>Grid_Analysis!Print_Area</vt:lpstr>
      <vt:lpstr>Pugh_Matrix!Print_Area</vt:lpstr>
      <vt:lpstr>'Summary Sheet'!Print_Area</vt:lpstr>
      <vt:lpstr>Template_History!Print_Area</vt:lpstr>
      <vt:lpstr>Example_Grid!Print_Titles</vt:lpstr>
      <vt:lpstr>Ranking_Alternatives</vt:lpstr>
      <vt:lpstr>Ranking_Criteria</vt:lpstr>
      <vt:lpstr>RankPugh</vt:lpstr>
      <vt:lpstr>RankRef</vt:lpstr>
      <vt:lpstr>Ref_Alternative</vt:lpstr>
      <vt:lpstr>Ref_Criteria</vt:lpstr>
    </vt:vector>
  </TitlesOfParts>
  <Manager>QMM-PD</Manager>
  <Company>RBEI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Quality System Template</dc:title>
  <dc:subject>DAR Report</dc:subject>
  <dc:creator>FIXED-TERM Nguyen Anh Quan (RBVH/ETI1)</dc:creator>
  <cp:lastModifiedBy>FIXED-TERM Nguyen Anh Quan (RBVH/ETI1)</cp:lastModifiedBy>
  <cp:lastPrinted>2011-12-07T11:18:02Z</cp:lastPrinted>
  <dcterms:created xsi:type="dcterms:W3CDTF">2003-08-18T11:39:22Z</dcterms:created>
  <dcterms:modified xsi:type="dcterms:W3CDTF">2017-05-28T09:27:04Z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partment">
    <vt:lpwstr>RBEI</vt:lpwstr>
  </property>
  <property fmtid="{D5CDD505-2E9C-101B-9397-08002B2CF9AE}" pid="3" name="Version">
    <vt:lpwstr>1.5</vt:lpwstr>
  </property>
  <property fmtid="{D5CDD505-2E9C-101B-9397-08002B2CF9AE}" pid="4" name="Document Number">
    <vt:lpwstr>QST-SQA-62</vt:lpwstr>
  </property>
  <property fmtid="{D5CDD505-2E9C-101B-9397-08002B2CF9AE}" pid="5" name="WorkbookGuid">
    <vt:lpwstr>bd61601c-2fe7-413b-93f4-cf6db9d4e350</vt:lpwstr>
  </property>
</Properties>
</file>